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" sheetId="2" state="visible" r:id="rId4"/>
    <sheet name="Use of Funds" sheetId="3" state="visible" r:id="rId5"/>
    <sheet name="Y1 Monthly" sheetId="4" state="visible" r:id="rId6"/>
    <sheet name="P&amp;L 3Y" sheetId="5" state="visible" r:id="rId7"/>
    <sheet name="Unit Economics" sheetId="6" state="visible" r:id="rId8"/>
    <sheet name="Market Sizin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<sst xmlns="http://schemas.openxmlformats.org/spreadsheetml/2006/main" count="227" uniqueCount="195">
  <si>
    <t xml:space="preserve">Nota — Financial Model</t>
  </si>
  <si>
    <t xml:space="preserve">Pre-seed raise: $250,000 CAD · 12 months · built 2026-08-16</t>
  </si>
  <si>
    <t xml:space="preserve">HOW TO READ THIS WORKBOOK</t>
  </si>
  <si>
    <t xml:space="preserve">Colour legend</t>
  </si>
  <si>
    <t xml:space="preserve">  Blue text</t>
  </si>
  <si>
    <t xml:space="preserve">A hardcoded input or scenario lever. These are the ONLY cells you should edit.</t>
  </si>
  <si>
    <t xml:space="preserve">  Black text</t>
  </si>
  <si>
    <t xml:space="preserve">A formula. Do not overwrite — it recalculates from the blue inputs.</t>
  </si>
  <si>
    <t xml:space="preserve">  Green text</t>
  </si>
  <si>
    <t xml:space="preserve">A link to another sheet in this workbook.</t>
  </si>
  <si>
    <t xml:space="preserve">  Yellow fill</t>
  </si>
  <si>
    <t xml:space="preserve">A key assumption worth arguing about in a diligence conversation.</t>
  </si>
  <si>
    <t xml:space="preserve">Sheets</t>
  </si>
  <si>
    <t xml:space="preserve">  Assumptions</t>
  </si>
  <si>
    <t xml:space="preserve">Every driver in the model. Change a number here and the whole workbook moves.</t>
  </si>
  <si>
    <t xml:space="preserve">  Y1 Monthly</t>
  </si>
  <si>
    <t xml:space="preserve">Month-by-month year one: demand ramp, fill rate, revenue, burn, cash runway.</t>
  </si>
  <si>
    <t xml:space="preserve">  P&amp;L 3Y</t>
  </si>
  <si>
    <t xml:space="preserve">Three-year P&amp;L summary, Y1 rolled up from the monthly sheet.</t>
  </si>
  <si>
    <t xml:space="preserve">  Use of Funds</t>
  </si>
  <si>
    <t xml:space="preserve">How the $250,000 is spent, and the monthly opex schedule that drives Y1 cash.</t>
  </si>
  <si>
    <t xml:space="preserve">  Unit Economics</t>
  </si>
  <si>
    <t xml:space="preserve">Per-act contribution, CAC, payback, notary LTV.</t>
  </si>
  <si>
    <t xml:space="preserve">  Market Sizing</t>
  </si>
  <si>
    <t xml:space="preserve">Bottom-up TAM / SAM / SOM with sources.</t>
  </si>
  <si>
    <t xml:space="preserve">Currency</t>
  </si>
  <si>
    <t xml:space="preserve">All figures are Canadian dollars (CAD), nominal, no inflation adjustment.</t>
  </si>
  <si>
    <t xml:space="preserve">Fiscal years</t>
  </si>
  <si>
    <t xml:space="preserve">Y1 = Sep 2026–Aug 2027, Y2 = Sep 2027–Aug 2028, Y3 = Sep 2028–Aug 2029.</t>
  </si>
  <si>
    <t xml:space="preserve">THE THREE ASSUMPTIONS THAT CARRY THE MODEL</t>
  </si>
  <si>
    <t xml:space="preserve">1. Urgency premium</t>
  </si>
  <si>
    <t xml:space="preserve">Clients pay materially more for a near-term signing date. Falsification test: realised premium by tier, visible month 6.</t>
  </si>
  <si>
    <t xml:space="preserve">2. Supply elasticity</t>
  </si>
  <si>
    <t xml:space="preserve">Notaries will sell short-notice availability. Falsification test: fill rate on prioritaire/urgence tiers, visible month 5.</t>
  </si>
  <si>
    <t xml:space="preserve">3. Déontologie-safe fee</t>
  </si>
  <si>
    <t xml:space="preserve">A client-side service fee is not fee-sharing under the Code de déontologie. Falsification test: written legal opinion, month 2.</t>
  </si>
  <si>
    <t xml:space="preserve">Note</t>
  </si>
  <si>
    <t xml:space="preserve">Revenue is modelled as a CLIENT-SIDE service fee on top of the notary's fee — NOT a commission deducted</t>
  </si>
  <si>
    <t xml:space="preserve">from the notary's honoraires. See docs/business-plan.md §2.2. The notary receives 100% of their fee.</t>
  </si>
  <si>
    <t xml:space="preserve">Assumptions</t>
  </si>
  <si>
    <t xml:space="preserve">Blue = editable input. Everything else in the workbook derives from this sheet.</t>
  </si>
  <si>
    <t xml:space="preserve">SCENARIO LEVERS</t>
  </si>
  <si>
    <t xml:space="preserve">Take rate (client service fee, % of act value)</t>
  </si>
  <si>
    <t xml:space="preserve">Charged to the CLIENT on top of the act. Notary keeps 100% of honoraires.</t>
  </si>
  <si>
    <t xml:space="preserve">Nota absorbs act payment-processing cost? (Yes/No)</t>
  </si>
  <si>
    <t xml:space="preserve">No</t>
  </si>
  <si>
    <t xml:space="preserve">No = notary's connected account bears Stripe on the act (standard destination charge). Yes = Nota absorbs it.</t>
  </si>
  <si>
    <t xml:space="preserve">Payment processing rate</t>
  </si>
  <si>
    <t xml:space="preserve">Stripe ~2.9% + $0.30; rounded to 3.0% blended.</t>
  </si>
  <si>
    <t xml:space="preserve">Variable cost per completed act</t>
  </si>
  <si>
    <t xml:space="preserve">Identity verification, document storage, transactional email, per-act compute.</t>
  </si>
  <si>
    <t xml:space="preserve">SERVICE MIX AND REALISED ACT VALUE</t>
  </si>
  <si>
    <t xml:space="preserve">Service</t>
  </si>
  <si>
    <t xml:space="preserve">Floor price</t>
  </si>
  <si>
    <t xml:space="preserve">Realised avg</t>
  </si>
  <si>
    <t xml:space="preserve">Y1 mix</t>
  </si>
  <si>
    <t xml:space="preserve">Realised avg = floor × observed urgency premium. Floors from ADR 0006.</t>
  </si>
  <si>
    <t xml:space="preserve">Testament et mandat de protection</t>
  </si>
  <si>
    <t xml:space="preserve">Procuration</t>
  </si>
  <si>
    <t xml:space="preserve">Refinancement hypothécaire</t>
  </si>
  <si>
    <t xml:space="preserve">Mix check (must equal 100%)</t>
  </si>
  <si>
    <t xml:space="preserve">Y1 blended realised act value</t>
  </si>
  <si>
    <t xml:space="preserve">ANNUAL DRIVERS</t>
  </si>
  <si>
    <t xml:space="preserve">Y1</t>
  </si>
  <si>
    <t xml:space="preserve">Y2</t>
  </si>
  <si>
    <t xml:space="preserve">Y3</t>
  </si>
  <si>
    <t xml:space="preserve">Notaries on platform (end of year)</t>
  </si>
  <si>
    <t xml:space="preserve">Y1 = Québec City only (~400 local notaries). Y2 = province-wide (~3,900).</t>
  </si>
  <si>
    <t xml:space="preserve">Bids posted</t>
  </si>
  <si>
    <t xml:space="preserve">Fill rate (share of bids retained)</t>
  </si>
  <si>
    <t xml:space="preserve">THE metric. Below ~40% the market is not clearing; above ~60% the flywheel is real.</t>
  </si>
  <si>
    <t xml:space="preserve">Acts completed</t>
  </si>
  <si>
    <t xml:space="preserve">Average realised act value</t>
  </si>
  <si>
    <t xml:space="preserve">Y3 rises as the act catalogue widens toward residential closings.</t>
  </si>
  <si>
    <t xml:space="preserve">Blended client CAC</t>
  </si>
  <si>
    <t xml:space="preserve">Y1 derived from the marketing budget ÷ acts. Y2–Y3 assume organic + referral channels compound.</t>
  </si>
  <si>
    <t xml:space="preserve">Operating expense</t>
  </si>
  <si>
    <t xml:space="preserve">Headcount (FTE, end of year)</t>
  </si>
  <si>
    <t xml:space="preserve">FUNDING</t>
  </si>
  <si>
    <t xml:space="preserve">Pre-seed raise</t>
  </si>
  <si>
    <t xml:space="preserve">SAFE or convertible note with an angel lead.</t>
  </si>
  <si>
    <t xml:space="preserve">Opening cash before raise</t>
  </si>
  <si>
    <t xml:space="preserve">Non-dilutive credits (SR&amp;ED / QC R&amp;D), Y1</t>
  </si>
  <si>
    <t xml:space="preserve">Deliberately modelled at zero. Treated as runway upside (~2–3 months), not budgeted revenue.</t>
  </si>
  <si>
    <t xml:space="preserve">Use of Funds — $250,000 over 12 months</t>
  </si>
  <si>
    <t xml:space="preserve">Column C is the 12-month total; columns D–O are the monthly opex schedule that drives Y1 cash.</t>
  </si>
  <si>
    <t xml:space="preserve">Line</t>
  </si>
  <si>
    <t xml:space="preserve">Total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</si>
  <si>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</si>
  <si>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</si>
  <si>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</si>
  <si>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</si>
  <si>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</si>
  <si>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</si>
  <si>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</si>
  <si>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</si>
  <si>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</si>
  <si>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</si>
  <si>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</si>
  <si>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</si>
  <si>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Founder salary</t>
  </si>
  <si>
    <t xml:space="preserve">Legal — déontologie opinion, Chambre, incorporation, Law 25</t>
  </si>
  <si>
    <t xml:space="preserve">Notary advisor (part-time, practising)</t>
  </si>
  <si>
    <t xml:space="preserve">Design / front-end contractor</t>
  </si>
  <si>
    <t xml:space="preserve">Client acquisition</t>
  </si>
  <si>
    <t xml:space="preserve">Notary acquisition (field, congrès, travel)</t>
  </si>
  <si>
    <t xml:space="preserve">Infrastructure, Stripe, certificates, insurance, tooling</t>
  </si>
  <si>
    <t xml:space="preserve">Contingency (~7%)</t>
  </si>
  <si>
    <t xml:space="preserve">TOTAL OPERATING EXPENSE</t>
  </si>
  <si>
    <t xml:space="preserve">Raise ($250,000) less total spend — must be ≥ 0</t>
  </si>
  <si>
    <t xml:space="preserve">Marketing total (client acquisition), used for Y1 CAC</t>
  </si>
  <si>
    <t xml:space="preserve">Average monthly burn</t>
  </si>
  <si>
    <t xml:space="preserve">Note: legal spend is front-loaded on purpose — the déontologie opinion (§2.2 of the plan) unblocks everything else.</t>
  </si>
  <si>
    <t xml:space="preserve">Note: client acquisition ramps with demand rather than front-loading, because supply must reach ~25 notaries first.</t>
  </si>
  <si>
    <t xml:space="preserve">Year 1 — monthly build</t>
  </si>
  <si>
    <t xml:space="preserve">Québec City. Blue cells are the demand ramp and fill-rate curve — the two things Phase 1 exists to test.</t>
  </si>
  <si>
    <t xml:space="preserve">Y1 Total</t>
  </si>
  <si>
    <t xml:space="preserve">Notaries on platform (cumulative)</t>
  </si>
  <si>
    <t xml:space="preserve">Fill rate</t>
  </si>
  <si>
    <t xml:space="preserve">GMV (act value transacted)</t>
  </si>
  <si>
    <t xml:space="preserve">REVENUE AND GROSS PROFIT</t>
  </si>
  <si>
    <t xml:space="preserve">Net revenue (client service fee)</t>
  </si>
  <si>
    <t xml:space="preserve">Cost of revenue</t>
  </si>
  <si>
    <t xml:space="preserve">Gross profit</t>
  </si>
  <si>
    <t xml:space="preserve">Gross margin</t>
  </si>
  <si>
    <t xml:space="preserve">BURN AND RUNWAY</t>
  </si>
  <si>
    <t xml:space="preserve">Net income</t>
  </si>
  <si>
    <t xml:space="preserve">Opening cash</t>
  </si>
  <si>
    <t xml:space="preserve">Closing cash</t>
  </si>
  <si>
    <t xml:space="preserve">Cumulative acts</t>
  </si>
  <si>
    <t xml:space="preserve">Cumulative net revenue</t>
  </si>
  <si>
    <t xml:space="preserve">Milestone: 25 notaries live (M3) · first 10 acts (M5) · fill rate &gt;45% (M6) · exception layer shipped (M9) · fill &gt;60% (M11)</t>
  </si>
  <si>
    <t xml:space="preserve">Three-year P&amp;L</t>
  </si>
  <si>
    <t xml:space="preserve">Y1 rolls up from 'Y1 Monthly'. Y2–Y3 derive from the annual drivers on 'Assumptions'.</t>
  </si>
  <si>
    <t xml:space="preserve">Y1 2026-27</t>
  </si>
  <si>
    <t xml:space="preserve">Y2 2027-28</t>
  </si>
  <si>
    <t xml:space="preserve">Y3 2028-29</t>
  </si>
  <si>
    <t xml:space="preserve">Notaries on platform</t>
  </si>
  <si>
    <t xml:space="preserve">Y1 Québec City only; Y2 province-wide matching live.</t>
  </si>
  <si>
    <t xml:space="preserve">The single metric that says whether the marketplace is working.</t>
  </si>
  <si>
    <t xml:space="preserve">GMV</t>
  </si>
  <si>
    <t xml:space="preserve">Client-side fee on top of the act. Notary keeps 100% of honoraires.</t>
  </si>
  <si>
    <t xml:space="preserve">Y1 from Use of Funds. Y2 = 4 FTE + growth. Y3 = 10 FTE + national marketing.</t>
  </si>
  <si>
    <t xml:space="preserve">Cumulative capital required</t>
  </si>
  <si>
    <t xml:space="preserve">Y3 share of addressable act volume</t>
  </si>
  <si>
    <t xml:space="preserve">The plan does not require winning the market — only being where price is discovered.</t>
  </si>
  <si>
    <t xml:space="preserve">Series A trigger: exit Y2 at a $300–500K ARR run-rate with province-wide liquidity and the exception layer in production.</t>
  </si>
  <si>
    <t xml:space="preserve">Unit economics</t>
  </si>
  <si>
    <t xml:space="preserve">Per completed act, and per notary recruited.</t>
  </si>
  <si>
    <t xml:space="preserve">Net revenue per act</t>
  </si>
  <si>
    <t xml:space="preserve">Variable cost per act</t>
  </si>
  <si>
    <t xml:space="preserve">Gross profit per act</t>
  </si>
  <si>
    <t xml:space="preserve">Y1 = marketing spend ÷ acts. Y2–Y3 assume organic carnet SEO and zero-CAC referral channels compound.</t>
  </si>
  <si>
    <t xml:space="preserve">Contribution per act (after CAC)</t>
  </si>
  <si>
    <t xml:space="preserve">Negative in Y1 — that is what a year-one marketplace looks like. Positive from Y2.</t>
  </si>
  <si>
    <t xml:space="preserve">NOTARY (SUPPLY-SIDE) ECONOMICS</t>
  </si>
  <si>
    <t xml:space="preserve">Notary acquisition cost</t>
  </si>
  <si>
    <t xml:space="preserve">Field sales, congrès, travel — from the Use of Funds notary line.</t>
  </si>
  <si>
    <t xml:space="preserve">Acts per active notary per year</t>
  </si>
  <si>
    <t xml:space="preserve">Expected notary tenure (years)</t>
  </si>
  <si>
    <t xml:space="preserve">Annual gross profit per notary</t>
  </si>
  <si>
    <t xml:space="preserve">Notary LTV (3 years, undiscounted)</t>
  </si>
  <si>
    <t xml:space="preserve">LTV / CAC</t>
  </si>
  <si>
    <t xml:space="preserve">Payback (acts required)</t>
  </si>
  <si>
    <t xml:space="preserve">Repeat-purchase note: a client buys a will roughly once a decade. Client retention is NOT the flywheel.</t>
  </si>
  <si>
    <t xml:space="preserve">The durable assets are the notary network, organic capture from the public carnet, and zero-CAC referral partners.</t>
  </si>
  <si>
    <t xml:space="preserve">Market sizing — bottom up</t>
  </si>
  <si>
    <t xml:space="preserve">Québec only. Sources cited per line. Volumes are estimates, offered as scale rather than precision.</t>
  </si>
  <si>
    <t xml:space="preserve">TAM — THE QUÉBEC NOTARIAL PROFESSION</t>
  </si>
  <si>
    <t xml:space="preserve">Practising notaries in Québec</t>
  </si>
  <si>
    <t xml:space="preserve">Source: Chambre des notaires du Québec (~3,800–3,913 reported).</t>
  </si>
  <si>
    <t xml:space="preserve">Est. annual professional fees per notary</t>
  </si>
  <si>
    <t xml:space="preserve">Order-of-magnitude estimate. No published per-notary figure exists.</t>
  </si>
  <si>
    <t xml:space="preserve">TAM — annual professional fees billed</t>
  </si>
  <si>
    <t xml:space="preserve">SAM — THE THREE BOUNDED SERVICES</t>
  </si>
  <si>
    <t xml:space="preserve">Annual volume</t>
  </si>
  <si>
    <t xml:space="preserve">Avg act value</t>
  </si>
  <si>
    <t xml:space="preserve">Annual act value</t>
  </si>
  <si>
    <t xml:space="preserve">Wills + protection mandates</t>
  </si>
  <si>
    <t xml:space="preserve">Registre des dispositions testamentaires: 215,576 registrations 2017-18; &gt;6M wills held.</t>
  </si>
  <si>
    <t xml:space="preserve">Procurations</t>
  </si>
  <si>
    <t xml:space="preserve">Estimate. No published volume.</t>
  </si>
  <si>
    <t xml:space="preserve">Refinancing (new hypothec)</t>
  </si>
  <si>
    <t xml:space="preserve">Inferred: ~1.2M Canadian fixed mortgages renewing 2025 (CMHC), QC ~20%, subset refinancing.</t>
  </si>
  <si>
    <t xml:space="preserve">SAM — three bounded services</t>
  </si>
  <si>
    <t xml:space="preserve">SOM — YEAR 3</t>
  </si>
  <si>
    <t xml:space="preserve">Acts completed, Y3</t>
  </si>
  <si>
    <t xml:space="preserve">Share of SAM volume</t>
  </si>
  <si>
    <t xml:space="preserve">PHASE 3 HORIZON — BEYOND THE THREE SERVICES</t>
  </si>
  <si>
    <t xml:space="preserve">Residential closings, Québec (annual)</t>
  </si>
  <si>
    <t xml:space="preserve">APCIQ: 90,369 residential sales province-wide 2024. Fees 1,500–3,500 $.</t>
  </si>
  <si>
    <t xml:space="preserve">→ This one category alone exceeds the current SAM.</t>
  </si>
  <si>
    <t xml:space="preserve">Civil-law notariat beyond Québec</t>
  </si>
  <si>
    <t xml:space="preserve">The International Union of Notaries spans ~90 member states — France, Belgium, Switzerland, most of Latin America —</t>
  </si>
  <si>
    <t xml:space="preserve">all built on the same instrument. That is where a 100× claim actually lives; not in avoiding a car trip.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</si>
</sst>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\$#,##0;&quot;($&quot;#,##0\);\-"/>
    <numFmt numFmtId="167" formatCode="0%"/>
    <numFmt numFmtId="168" formatCode="#,##0;\(#,##0\);\-"/>
    <numFmt numFmtId="169" formatCode="0.0\x"/>
    <numFmt numFmtId="170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1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EDEDED"/>
      </patternFill>
    </fill>
    <fill>
      <patternFill patternType="solid">
        <fgColor rgb="FFEDEDED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1A1A1A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</row>
    <row r="5" customFormat="false" ht="15" hidden="false" customHeight="false" outlineLevel="0" collapsed="false">
      <c r="A5" s="4" t="s">
        <v>3</v>
      </c>
      <c r="B5" s="5"/>
    </row>
    <row r="6" customFormat="false" ht="15" hidden="false" customHeight="false" outlineLevel="0" collapsed="false">
      <c r="A6" s="6" t="s">
        <v>4</v>
      </c>
      <c r="B6" s="5" t="s">
        <v>5</v>
      </c>
    </row>
    <row r="7" customFormat="false" ht="15" hidden="false" customHeight="false" outlineLevel="0" collapsed="false">
      <c r="A7" s="6" t="s">
        <v>6</v>
      </c>
      <c r="B7" s="5" t="s">
        <v>7</v>
      </c>
    </row>
    <row r="8" customFormat="false" ht="15" hidden="false" customHeight="false" outlineLevel="0" collapsed="false">
      <c r="A8" s="6" t="s">
        <v>8</v>
      </c>
      <c r="B8" s="5" t="s">
        <v>9</v>
      </c>
    </row>
    <row r="9" customFormat="false" ht="15" hidden="false" customHeight="false" outlineLevel="0" collapsed="false">
      <c r="A9" s="6" t="s">
        <v>10</v>
      </c>
      <c r="B9" s="5" t="s">
        <v>11</v>
      </c>
    </row>
    <row r="10" customFormat="false" ht="15" hidden="false" customHeight="false" outlineLevel="0" collapsed="false">
      <c r="A10" s="6"/>
      <c r="B10" s="5"/>
    </row>
    <row r="11" customFormat="false" ht="15" hidden="false" customHeight="false" outlineLevel="0" collapsed="false">
      <c r="A11" s="4" t="s">
        <v>12</v>
      </c>
      <c r="B11" s="5"/>
    </row>
    <row r="12" customFormat="false" ht="15" hidden="false" customHeight="false" outlineLevel="0" collapsed="false">
      <c r="A12" s="6" t="s">
        <v>13</v>
      </c>
      <c r="B12" s="5" t="s">
        <v>14</v>
      </c>
    </row>
    <row r="13" customFormat="false" ht="15" hidden="false" customHeight="false" outlineLevel="0" collapsed="false">
      <c r="A13" s="6" t="s">
        <v>15</v>
      </c>
      <c r="B13" s="5" t="s">
        <v>16</v>
      </c>
    </row>
    <row r="14" customFormat="false" ht="15" hidden="false" customHeight="false" outlineLevel="0" collapsed="false">
      <c r="A14" s="6" t="s">
        <v>17</v>
      </c>
      <c r="B14" s="5" t="s">
        <v>18</v>
      </c>
    </row>
    <row r="15" customFormat="false" ht="15" hidden="false" customHeight="false" outlineLevel="0" collapsed="false">
      <c r="A15" s="6" t="s">
        <v>19</v>
      </c>
      <c r="B15" s="5" t="s">
        <v>20</v>
      </c>
    </row>
    <row r="16" customFormat="false" ht="15" hidden="false" customHeight="false" outlineLevel="0" collapsed="false">
      <c r="A16" s="6" t="s">
        <v>21</v>
      </c>
      <c r="B16" s="5" t="s">
        <v>22</v>
      </c>
    </row>
    <row r="17" customFormat="false" ht="15" hidden="false" customHeight="false" outlineLevel="0" collapsed="false">
      <c r="A17" s="6" t="s">
        <v>23</v>
      </c>
      <c r="B17" s="5" t="s">
        <v>24</v>
      </c>
    </row>
    <row r="18" customFormat="false" ht="15" hidden="false" customHeight="false" outlineLevel="0" collapsed="false">
      <c r="A18" s="6"/>
      <c r="B18" s="5"/>
    </row>
    <row r="19" customFormat="false" ht="15" hidden="false" customHeight="false" outlineLevel="0" collapsed="false">
      <c r="A19" s="4" t="s">
        <v>25</v>
      </c>
      <c r="B19" s="5" t="s">
        <v>26</v>
      </c>
    </row>
    <row r="20" customFormat="false" ht="15" hidden="false" customHeight="false" outlineLevel="0" collapsed="false">
      <c r="A20" s="4" t="s">
        <v>27</v>
      </c>
      <c r="B20" s="5" t="s">
        <v>28</v>
      </c>
    </row>
    <row r="22" customFormat="false" ht="15" hidden="false" customHeight="false" outlineLevel="0" collapsed="false">
      <c r="A22" s="3" t="s">
        <v>29</v>
      </c>
      <c r="B22" s="3"/>
    </row>
    <row r="23" customFormat="false" ht="15" hidden="false" customHeight="false" outlineLevel="0" collapsed="false">
      <c r="A23" s="4" t="s">
        <v>30</v>
      </c>
      <c r="B23" s="6" t="s">
        <v>31</v>
      </c>
    </row>
    <row r="24" customFormat="false" ht="15" hidden="false" customHeight="false" outlineLevel="0" collapsed="false">
      <c r="A24" s="4" t="s">
        <v>32</v>
      </c>
      <c r="B24" s="6" t="s">
        <v>33</v>
      </c>
    </row>
    <row r="25" customFormat="false" ht="15" hidden="false" customHeight="false" outlineLevel="0" collapsed="false">
      <c r="A25" s="4" t="s">
        <v>34</v>
      </c>
      <c r="B25" s="6" t="s">
        <v>35</v>
      </c>
    </row>
    <row r="26" customFormat="false" ht="15" hidden="false" customHeight="false" outlineLevel="0" collapsed="false">
      <c r="A26" s="4"/>
      <c r="B26" s="6"/>
    </row>
    <row r="27" customFormat="false" ht="15" hidden="false" customHeight="false" outlineLevel="0" collapsed="false">
      <c r="A27" s="4" t="s">
        <v>36</v>
      </c>
      <c r="B27" s="6" t="s">
        <v>37</v>
      </c>
    </row>
    <row r="28" customFormat="false" ht="15" hidden="false" customHeight="false" outlineLevel="0" collapsed="false">
      <c r="A28" s="4"/>
      <c r="B28" s="6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62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4" customFormat="false" ht="15" hidden="false" customHeight="false" outlineLevel="0" collapsed="false">
      <c r="A4" s="3" t="s">
        <v>41</v>
      </c>
      <c r="B4" s="3"/>
      <c r="C4" s="3"/>
      <c r="D4" s="3"/>
      <c r="E4" s="3"/>
    </row>
    <row r="5" customFormat="false" ht="15" hidden="false" customHeight="false" outlineLevel="0" collapsed="false">
      <c r="A5" s="4" t="s">
        <v>42</v>
      </c>
      <c r="B5" s="7" t="n">
        <v>0.1</v>
      </c>
      <c r="E5" s="2" t="s">
        <v>43</v>
      </c>
    </row>
    <row r="6" customFormat="false" ht="15" hidden="false" customHeight="false" outlineLevel="0" collapsed="false">
      <c r="A6" s="4" t="s">
        <v>44</v>
      </c>
      <c r="B6" s="8" t="s">
        <v>45</v>
      </c>
      <c r="E6" s="2" t="s">
        <v>46</v>
      </c>
    </row>
    <row r="7" customFormat="false" ht="15" hidden="false" customHeight="false" outlineLevel="0" collapsed="false">
      <c r="A7" s="6" t="s">
        <v>47</v>
      </c>
      <c r="B7" s="9" t="n">
        <v>0.03</v>
      </c>
      <c r="E7" s="2" t="s">
        <v>48</v>
      </c>
    </row>
    <row r="8" customFormat="false" ht="15" hidden="false" customHeight="false" outlineLevel="0" collapsed="false">
      <c r="A8" s="6" t="s">
        <v>49</v>
      </c>
      <c r="B8" s="10" t="n">
        <v>8</v>
      </c>
      <c r="E8" s="2" t="s">
        <v>50</v>
      </c>
    </row>
    <row r="10" customFormat="false" ht="15" hidden="false" customHeight="false" outlineLevel="0" collapsed="false">
      <c r="A10" s="3" t="s">
        <v>51</v>
      </c>
      <c r="B10" s="3"/>
      <c r="C10" s="3"/>
      <c r="D10" s="3"/>
      <c r="E10" s="3"/>
    </row>
    <row r="11" customFormat="false" ht="15" hidden="false" customHeight="false" outlineLevel="0" collapsed="false">
      <c r="A11" s="4" t="s">
        <v>52</v>
      </c>
      <c r="B11" s="11" t="s">
        <v>53</v>
      </c>
      <c r="C11" s="11" t="s">
        <v>54</v>
      </c>
      <c r="D11" s="11" t="s">
        <v>55</v>
      </c>
      <c r="E11" s="2" t="s">
        <v>56</v>
      </c>
    </row>
    <row r="12" customFormat="false" ht="15" hidden="false" customHeight="false" outlineLevel="0" collapsed="false">
      <c r="A12" s="6" t="s">
        <v>57</v>
      </c>
      <c r="B12" s="10" t="n">
        <v>650</v>
      </c>
      <c r="C12" s="10" t="n">
        <v>900</v>
      </c>
      <c r="D12" s="12" t="n">
        <v>0.5</v>
      </c>
    </row>
    <row r="13" customFormat="false" ht="15" hidden="false" customHeight="false" outlineLevel="0" collapsed="false">
      <c r="A13" s="6" t="s">
        <v>58</v>
      </c>
      <c r="B13" s="10" t="n">
        <v>295</v>
      </c>
      <c r="C13" s="10" t="n">
        <v>420</v>
      </c>
      <c r="D13" s="12" t="n">
        <v>0.3</v>
      </c>
    </row>
    <row r="14" customFormat="false" ht="15" hidden="false" customHeight="false" outlineLevel="0" collapsed="false">
      <c r="A14" s="6" t="s">
        <v>59</v>
      </c>
      <c r="B14" s="10" t="n">
        <v>2000</v>
      </c>
      <c r="C14" s="10" t="n">
        <v>2400</v>
      </c>
      <c r="D14" s="12" t="n">
        <v>0.2</v>
      </c>
    </row>
    <row r="15" customFormat="false" ht="15" hidden="false" customHeight="false" outlineLevel="0" collapsed="false">
      <c r="A15" s="4" t="s">
        <v>60</v>
      </c>
      <c r="D15" s="13" t="n">
        <f aca="false">SUM(D12:D14)</f>
        <v>1</v>
      </c>
    </row>
    <row r="16" customFormat="false" ht="15" hidden="false" customHeight="false" outlineLevel="0" collapsed="false">
      <c r="A16" s="4" t="s">
        <v>61</v>
      </c>
      <c r="C16" s="14" t="n">
        <f aca="false">SUMPRODUCT(C12:C14,D12:D14)</f>
        <v>1056</v>
      </c>
    </row>
    <row r="18" customFormat="false" ht="15" hidden="false" customHeight="false" outlineLevel="0" collapsed="false">
      <c r="A18" s="3" t="s">
        <v>62</v>
      </c>
      <c r="B18" s="3"/>
      <c r="C18" s="3"/>
      <c r="D18" s="3"/>
      <c r="E18" s="3"/>
    </row>
    <row r="19" customFormat="false" ht="15" hidden="false" customHeight="false" outlineLevel="0" collapsed="false">
      <c r="A19" s="6"/>
      <c r="B19" s="11" t="s">
        <v>63</v>
      </c>
      <c r="C19" s="11" t="s">
        <v>64</v>
      </c>
      <c r="D19" s="11" t="s">
        <v>65</v>
      </c>
    </row>
    <row r="20" customFormat="false" ht="15" hidden="false" customHeight="false" outlineLevel="0" collapsed="false">
      <c r="A20" s="6" t="s">
        <v>66</v>
      </c>
      <c r="B20" s="15" t="n">
        <v>30</v>
      </c>
      <c r="C20" s="15" t="n">
        <v>220</v>
      </c>
      <c r="D20" s="15" t="n">
        <v>700</v>
      </c>
      <c r="E20" s="2" t="s">
        <v>67</v>
      </c>
    </row>
    <row r="21" customFormat="false" ht="15" hidden="false" customHeight="false" outlineLevel="0" collapsed="false">
      <c r="A21" s="6" t="s">
        <v>68</v>
      </c>
      <c r="B21" s="16" t="n">
        <f aca="false">'Y1 Monthly'!N6</f>
        <v>434</v>
      </c>
      <c r="C21" s="15" t="n">
        <v>4912</v>
      </c>
      <c r="D21" s="15" t="n">
        <v>17742</v>
      </c>
    </row>
    <row r="22" customFormat="false" ht="15" hidden="false" customHeight="false" outlineLevel="0" collapsed="false">
      <c r="A22" s="4" t="s">
        <v>69</v>
      </c>
      <c r="B22" s="17" t="n">
        <f aca="false">IFERROR('Y1 Monthly'!N8/B21,0)</f>
        <v>0.56221198156682</v>
      </c>
      <c r="C22" s="7" t="n">
        <v>0.57</v>
      </c>
      <c r="D22" s="7" t="n">
        <v>0.62</v>
      </c>
      <c r="E22" s="2" t="s">
        <v>70</v>
      </c>
    </row>
    <row r="23" customFormat="false" ht="15" hidden="false" customHeight="false" outlineLevel="0" collapsed="false">
      <c r="A23" s="4" t="s">
        <v>71</v>
      </c>
      <c r="B23" s="16" t="n">
        <f aca="false">'Y1 Monthly'!N8</f>
        <v>244</v>
      </c>
      <c r="C23" s="18" t="n">
        <f aca="false">ROUND(C21*C22,0)</f>
        <v>2800</v>
      </c>
      <c r="D23" s="18" t="n">
        <f aca="false">ROUND(D21*D22,0)</f>
        <v>11000</v>
      </c>
    </row>
    <row r="24" customFormat="false" ht="15" hidden="false" customHeight="false" outlineLevel="0" collapsed="false">
      <c r="A24" s="6" t="s">
        <v>72</v>
      </c>
      <c r="B24" s="19" t="n">
        <f aca="false">Assumptions!$C$16</f>
        <v>1056</v>
      </c>
      <c r="C24" s="10" t="n">
        <v>1150</v>
      </c>
      <c r="D24" s="10" t="n">
        <v>1450</v>
      </c>
      <c r="E24" s="2" t="s">
        <v>73</v>
      </c>
    </row>
    <row r="25" customFormat="false" ht="15" hidden="false" customHeight="false" outlineLevel="0" collapsed="false">
      <c r="A25" s="6" t="s">
        <v>74</v>
      </c>
      <c r="B25" s="20" t="n">
        <f aca="false">IFERROR('Use of Funds'!C16/B23,0)</f>
        <v>163.934426229508</v>
      </c>
      <c r="C25" s="10" t="n">
        <v>55</v>
      </c>
      <c r="D25" s="10" t="n">
        <v>40</v>
      </c>
      <c r="E25" s="2" t="s">
        <v>75</v>
      </c>
    </row>
    <row r="26" customFormat="false" ht="15" hidden="false" customHeight="false" outlineLevel="0" collapsed="false">
      <c r="A26" s="6" t="s">
        <v>76</v>
      </c>
      <c r="B26" s="19" t="n">
        <f aca="false">'Use of Funds'!C13</f>
        <v>250000</v>
      </c>
      <c r="C26" s="10" t="n">
        <v>720000</v>
      </c>
      <c r="D26" s="10" t="n">
        <v>1850000</v>
      </c>
    </row>
    <row r="27" customFormat="false" ht="15" hidden="false" customHeight="false" outlineLevel="0" collapsed="false">
      <c r="A27" s="6" t="s">
        <v>77</v>
      </c>
      <c r="B27" s="15" t="n">
        <v>1</v>
      </c>
      <c r="C27" s="15" t="n">
        <v>4</v>
      </c>
      <c r="D27" s="15" t="n">
        <v>10</v>
      </c>
    </row>
    <row r="29" customFormat="false" ht="15" hidden="false" customHeight="false" outlineLevel="0" collapsed="false">
      <c r="A29" s="3" t="s">
        <v>78</v>
      </c>
      <c r="B29" s="3"/>
      <c r="C29" s="3"/>
      <c r="D29" s="3"/>
      <c r="E29" s="3"/>
    </row>
    <row r="30" customFormat="false" ht="15" hidden="false" customHeight="false" outlineLevel="0" collapsed="false">
      <c r="A30" s="4" t="s">
        <v>79</v>
      </c>
      <c r="B30" s="21" t="n">
        <v>250000</v>
      </c>
      <c r="E30" s="2" t="s">
        <v>80</v>
      </c>
    </row>
    <row r="31" customFormat="false" ht="15" hidden="false" customHeight="false" outlineLevel="0" collapsed="false">
      <c r="A31" s="6" t="s">
        <v>81</v>
      </c>
      <c r="B31" s="10" t="n">
        <v>0</v>
      </c>
    </row>
    <row r="32" customFormat="false" ht="15" hidden="false" customHeight="false" outlineLevel="0" collapsed="false">
      <c r="A32" s="6" t="s">
        <v>82</v>
      </c>
      <c r="B32" s="10" t="n">
        <v>0</v>
      </c>
      <c r="E32" s="2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"/>
    <col collapsed="false" customWidth="true" hidden="false" outlineLevel="0" max="3" min="3" style="0" width="14"/>
    <col collapsed="false" customWidth="true" hidden="false" outlineLevel="0" max="16" min="4" style="0" width="10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4" customFormat="false" ht="15" hidden="false" customHeight="false" outlineLevel="0" collapsed="false">
      <c r="A4" s="22" t="s">
        <v>86</v>
      </c>
      <c r="C4" s="11" t="s">
        <v>87</v>
      </c>
      <c r="D4" s="11" t="s">
        <v>88</v>
      </c>
      <c r="E4" s="11" t="s">
        <v>89</v>
      </c>
      <c r="F4" s="11" t="s">
        <v>90</v>
      </c>
      <c r="G4" s="11" t="s">
        <v>91</v>
      </c>
      <c r="H4" s="11" t="s">
        <v>92</v>
      </c>
      <c r="I4" s="11" t="s">
        <v>93</v>
      </c>
      <c r="J4" s="11" t="s">
        <v>94</v>
      </c>
      <c r="K4" s="11" t="s">
        <v>95</v>
      </c>
      <c r="L4" s="11" t="s">
        <v>96</v>
      </c>
      <c r="M4" s="11" t="s">
        <v>97</v>
      </c>
      <c r="N4" s="11" t="s">
        <v>98</v>
      </c>
      <c r="O4" s="11" t="s">
        <v>99</v>
      </c>
    </row>
    <row r="5" customFormat="false" ht="15" hidden="false" customHeight="false" outlineLevel="0" collapsed="false">
      <c r="A5" s="6" t="s">
        <v>100</v>
      </c>
      <c r="C5" s="20" t="n">
        <f aca="false">SUM(D5:O5)</f>
        <v>96000</v>
      </c>
      <c r="D5" s="10" t="n">
        <v>8000</v>
      </c>
      <c r="E5" s="10" t="n">
        <v>8000</v>
      </c>
      <c r="F5" s="10" t="n">
        <v>8000</v>
      </c>
      <c r="G5" s="10" t="n">
        <v>8000</v>
      </c>
      <c r="H5" s="10" t="n">
        <v>8000</v>
      </c>
      <c r="I5" s="10" t="n">
        <v>8000</v>
      </c>
      <c r="J5" s="10" t="n">
        <v>8000</v>
      </c>
      <c r="K5" s="10" t="n">
        <v>8000</v>
      </c>
      <c r="L5" s="10" t="n">
        <v>8000</v>
      </c>
      <c r="M5" s="10" t="n">
        <v>8000</v>
      </c>
      <c r="N5" s="10" t="n">
        <v>8000</v>
      </c>
      <c r="O5" s="10" t="n">
        <v>8000</v>
      </c>
    </row>
    <row r="6" customFormat="false" ht="15" hidden="false" customHeight="false" outlineLevel="0" collapsed="false">
      <c r="A6" s="6" t="s">
        <v>101</v>
      </c>
      <c r="C6" s="20" t="n">
        <f aca="false">SUM(D6:O6)</f>
        <v>20000</v>
      </c>
      <c r="D6" s="10" t="n">
        <v>12000</v>
      </c>
      <c r="E6" s="10" t="n">
        <v>8000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</row>
    <row r="7" customFormat="false" ht="15" hidden="false" customHeight="false" outlineLevel="0" collapsed="false">
      <c r="A7" s="6" t="s">
        <v>102</v>
      </c>
      <c r="C7" s="20" t="n">
        <f aca="false">SUM(D7:O7)</f>
        <v>25000</v>
      </c>
      <c r="D7" s="10" t="n">
        <v>2084</v>
      </c>
      <c r="E7" s="10" t="n">
        <v>2084</v>
      </c>
      <c r="F7" s="10" t="n">
        <v>2084</v>
      </c>
      <c r="G7" s="10" t="n">
        <v>2083</v>
      </c>
      <c r="H7" s="10" t="n">
        <v>2083</v>
      </c>
      <c r="I7" s="10" t="n">
        <v>2083</v>
      </c>
      <c r="J7" s="10" t="n">
        <v>2083</v>
      </c>
      <c r="K7" s="10" t="n">
        <v>2083</v>
      </c>
      <c r="L7" s="10" t="n">
        <v>2083</v>
      </c>
      <c r="M7" s="10" t="n">
        <v>2083</v>
      </c>
      <c r="N7" s="10" t="n">
        <v>2083</v>
      </c>
      <c r="O7" s="10" t="n">
        <v>2084</v>
      </c>
    </row>
    <row r="8" customFormat="false" ht="15" hidden="false" customHeight="false" outlineLevel="0" collapsed="false">
      <c r="A8" s="6" t="s">
        <v>103</v>
      </c>
      <c r="C8" s="20" t="n">
        <f aca="false">SUM(D8:O8)</f>
        <v>25000</v>
      </c>
      <c r="D8" s="10" t="n">
        <v>0</v>
      </c>
      <c r="E8" s="10" t="n">
        <v>8334</v>
      </c>
      <c r="F8" s="10" t="n">
        <v>8333</v>
      </c>
      <c r="G8" s="10" t="n">
        <v>8333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</row>
    <row r="9" customFormat="false" ht="15" hidden="false" customHeight="false" outlineLevel="0" collapsed="false">
      <c r="A9" s="6" t="s">
        <v>104</v>
      </c>
      <c r="C9" s="20" t="n">
        <f aca="false">SUM(D9:O9)</f>
        <v>40000</v>
      </c>
      <c r="D9" s="10" t="n">
        <v>0</v>
      </c>
      <c r="E9" s="10" t="n">
        <v>1000</v>
      </c>
      <c r="F9" s="10" t="n">
        <v>2000</v>
      </c>
      <c r="G9" s="10" t="n">
        <v>3000</v>
      </c>
      <c r="H9" s="10" t="n">
        <v>3500</v>
      </c>
      <c r="I9" s="10" t="n">
        <v>4000</v>
      </c>
      <c r="J9" s="10" t="n">
        <v>4500</v>
      </c>
      <c r="K9" s="10" t="n">
        <v>4500</v>
      </c>
      <c r="L9" s="10" t="n">
        <v>5000</v>
      </c>
      <c r="M9" s="10" t="n">
        <v>5000</v>
      </c>
      <c r="N9" s="10" t="n">
        <v>4000</v>
      </c>
      <c r="O9" s="10" t="n">
        <v>3500</v>
      </c>
    </row>
    <row r="10" customFormat="false" ht="15" hidden="false" customHeight="false" outlineLevel="0" collapsed="false">
      <c r="A10" s="6" t="s">
        <v>105</v>
      </c>
      <c r="C10" s="20" t="n">
        <f aca="false">SUM(D10:O10)</f>
        <v>15000</v>
      </c>
      <c r="D10" s="10" t="n">
        <v>4000</v>
      </c>
      <c r="E10" s="10" t="n">
        <v>4000</v>
      </c>
      <c r="F10" s="10" t="n">
        <v>3000</v>
      </c>
      <c r="G10" s="10" t="n">
        <v>1000</v>
      </c>
      <c r="H10" s="10" t="n">
        <v>500</v>
      </c>
      <c r="I10" s="10" t="n">
        <v>500</v>
      </c>
      <c r="J10" s="10" t="n">
        <v>500</v>
      </c>
      <c r="K10" s="10" t="n">
        <v>500</v>
      </c>
      <c r="L10" s="10" t="n">
        <v>250</v>
      </c>
      <c r="M10" s="10" t="n">
        <v>250</v>
      </c>
      <c r="N10" s="10" t="n">
        <v>250</v>
      </c>
      <c r="O10" s="10" t="n">
        <v>250</v>
      </c>
    </row>
    <row r="11" customFormat="false" ht="15" hidden="false" customHeight="false" outlineLevel="0" collapsed="false">
      <c r="A11" s="6" t="s">
        <v>106</v>
      </c>
      <c r="C11" s="20" t="n">
        <f aca="false">SUM(D11:O11)</f>
        <v>12000</v>
      </c>
      <c r="D11" s="10" t="n">
        <v>1000</v>
      </c>
      <c r="E11" s="10" t="n">
        <v>1000</v>
      </c>
      <c r="F11" s="10" t="n">
        <v>1000</v>
      </c>
      <c r="G11" s="10" t="n">
        <v>1000</v>
      </c>
      <c r="H11" s="10" t="n">
        <v>1000</v>
      </c>
      <c r="I11" s="10" t="n">
        <v>1000</v>
      </c>
      <c r="J11" s="10" t="n">
        <v>1000</v>
      </c>
      <c r="K11" s="10" t="n">
        <v>1000</v>
      </c>
      <c r="L11" s="10" t="n">
        <v>1000</v>
      </c>
      <c r="M11" s="10" t="n">
        <v>1000</v>
      </c>
      <c r="N11" s="10" t="n">
        <v>1000</v>
      </c>
      <c r="O11" s="10" t="n">
        <v>1000</v>
      </c>
    </row>
    <row r="12" customFormat="false" ht="15" hidden="false" customHeight="false" outlineLevel="0" collapsed="false">
      <c r="A12" s="6" t="s">
        <v>107</v>
      </c>
      <c r="C12" s="20" t="n">
        <f aca="false">SUM(D12:O12)</f>
        <v>17000</v>
      </c>
      <c r="D12" s="10" t="n">
        <v>1417</v>
      </c>
      <c r="E12" s="10" t="n">
        <v>1417</v>
      </c>
      <c r="F12" s="10" t="n">
        <v>1417</v>
      </c>
      <c r="G12" s="10" t="n">
        <v>1417</v>
      </c>
      <c r="H12" s="10" t="n">
        <v>1417</v>
      </c>
      <c r="I12" s="10" t="n">
        <v>1417</v>
      </c>
      <c r="J12" s="10" t="n">
        <v>1417</v>
      </c>
      <c r="K12" s="10" t="n">
        <v>1417</v>
      </c>
      <c r="L12" s="10" t="n">
        <v>1417</v>
      </c>
      <c r="M12" s="10" t="n">
        <v>1417</v>
      </c>
      <c r="N12" s="10" t="n">
        <v>1417</v>
      </c>
      <c r="O12" s="10" t="n">
        <v>1413</v>
      </c>
    </row>
    <row r="13" customFormat="false" ht="15" hidden="false" customHeight="false" outlineLevel="0" collapsed="false">
      <c r="A13" s="4" t="s">
        <v>108</v>
      </c>
      <c r="C13" s="23" t="n">
        <f aca="false">SUM(C5:C12)</f>
        <v>250000</v>
      </c>
      <c r="D13" s="23" t="n">
        <f aca="false">SUM(D5:D12)</f>
        <v>28501</v>
      </c>
      <c r="E13" s="23" t="n">
        <f aca="false">SUM(E5:E12)</f>
        <v>33835</v>
      </c>
      <c r="F13" s="23" t="n">
        <f aca="false">SUM(F5:F12)</f>
        <v>25834</v>
      </c>
      <c r="G13" s="23" t="n">
        <f aca="false">SUM(G5:G12)</f>
        <v>24833</v>
      </c>
      <c r="H13" s="23" t="n">
        <f aca="false">SUM(H5:H12)</f>
        <v>16500</v>
      </c>
      <c r="I13" s="23" t="n">
        <f aca="false">SUM(I5:I12)</f>
        <v>17000</v>
      </c>
      <c r="J13" s="23" t="n">
        <f aca="false">SUM(J5:J12)</f>
        <v>17500</v>
      </c>
      <c r="K13" s="23" t="n">
        <f aca="false">SUM(K5:K12)</f>
        <v>17500</v>
      </c>
      <c r="L13" s="23" t="n">
        <f aca="false">SUM(L5:L12)</f>
        <v>17750</v>
      </c>
      <c r="M13" s="23" t="n">
        <f aca="false">SUM(M5:M12)</f>
        <v>17750</v>
      </c>
      <c r="N13" s="23" t="n">
        <f aca="false">SUM(N5:N12)</f>
        <v>16750</v>
      </c>
      <c r="O13" s="23" t="n">
        <f aca="false">SUM(O5:O12)</f>
        <v>16247</v>
      </c>
    </row>
    <row r="14" customFormat="false" ht="15" hidden="false" customHeight="false" outlineLevel="0" collapsed="false">
      <c r="A14" s="4" t="s">
        <v>109</v>
      </c>
      <c r="C14" s="24" t="n">
        <f aca="false">Assumptions!$B$30-C13</f>
        <v>0</v>
      </c>
    </row>
    <row r="16" customFormat="false" ht="15" hidden="false" customHeight="false" outlineLevel="0" collapsed="false">
      <c r="A16" s="6" t="s">
        <v>110</v>
      </c>
      <c r="C16" s="20" t="n">
        <f aca="false">C9</f>
        <v>40000</v>
      </c>
    </row>
    <row r="17" customFormat="false" ht="15" hidden="false" customHeight="false" outlineLevel="0" collapsed="false">
      <c r="A17" s="6" t="s">
        <v>111</v>
      </c>
      <c r="C17" s="20" t="n">
        <f aca="false">C13/12</f>
        <v>20833.3333333333</v>
      </c>
    </row>
    <row r="19" customFormat="false" ht="15" hidden="false" customHeight="false" outlineLevel="0" collapsed="false">
      <c r="A19" s="2" t="s">
        <v>112</v>
      </c>
    </row>
    <row r="20" customFormat="false" ht="15" hidden="false" customHeight="false" outlineLevel="0" collapsed="false">
      <c r="A20" s="2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14" min="2" style="0" width="11"/>
  </cols>
  <sheetData>
    <row r="1" customFormat="false" ht="17.35" hidden="false" customHeight="false" outlineLevel="0" collapsed="false">
      <c r="A1" s="1" t="s">
        <v>114</v>
      </c>
    </row>
    <row r="2" customFormat="false" ht="15" hidden="false" customHeight="false" outlineLevel="0" collapsed="false">
      <c r="A2" s="2" t="s">
        <v>115</v>
      </c>
    </row>
    <row r="4" customFormat="false" ht="15" hidden="false" customHeight="false" outlineLevel="0" collapsed="false">
      <c r="A4" s="6"/>
      <c r="B4" s="11" t="s">
        <v>88</v>
      </c>
      <c r="C4" s="11" t="s">
        <v>89</v>
      </c>
      <c r="D4" s="11" t="s">
        <v>90</v>
      </c>
      <c r="E4" s="11" t="s">
        <v>91</v>
      </c>
      <c r="F4" s="11" t="s">
        <v>92</v>
      </c>
      <c r="G4" s="11" t="s">
        <v>93</v>
      </c>
      <c r="H4" s="11" t="s">
        <v>94</v>
      </c>
      <c r="I4" s="11" t="s">
        <v>95</v>
      </c>
      <c r="J4" s="11" t="s">
        <v>96</v>
      </c>
      <c r="K4" s="11" t="s">
        <v>97</v>
      </c>
      <c r="L4" s="11" t="s">
        <v>98</v>
      </c>
      <c r="M4" s="11" t="s">
        <v>99</v>
      </c>
      <c r="N4" s="11" t="s">
        <v>116</v>
      </c>
    </row>
    <row r="5" customFormat="false" ht="15" hidden="false" customHeight="false" outlineLevel="0" collapsed="false">
      <c r="A5" s="6" t="s">
        <v>117</v>
      </c>
      <c r="B5" s="15" t="n">
        <v>6</v>
      </c>
      <c r="C5" s="15" t="n">
        <v>14</v>
      </c>
      <c r="D5" s="15" t="n">
        <v>25</v>
      </c>
      <c r="E5" s="15" t="n">
        <v>27</v>
      </c>
      <c r="F5" s="15" t="n">
        <v>28</v>
      </c>
      <c r="G5" s="15" t="n">
        <v>29</v>
      </c>
      <c r="H5" s="15" t="n">
        <v>30</v>
      </c>
      <c r="I5" s="15" t="n">
        <v>30</v>
      </c>
      <c r="J5" s="15" t="n">
        <v>30</v>
      </c>
      <c r="K5" s="15" t="n">
        <v>30</v>
      </c>
      <c r="L5" s="15" t="n">
        <v>30</v>
      </c>
      <c r="M5" s="15" t="n">
        <v>30</v>
      </c>
      <c r="N5" s="25" t="n">
        <f aca="false">M5</f>
        <v>30</v>
      </c>
    </row>
    <row r="6" customFormat="false" ht="15" hidden="false" customHeight="false" outlineLevel="0" collapsed="false">
      <c r="A6" s="6" t="s">
        <v>68</v>
      </c>
      <c r="B6" s="15" t="n">
        <v>3</v>
      </c>
      <c r="C6" s="15" t="n">
        <v>5</v>
      </c>
      <c r="D6" s="15" t="n">
        <v>8</v>
      </c>
      <c r="E6" s="15" t="n">
        <v>12</v>
      </c>
      <c r="F6" s="15" t="n">
        <v>18</v>
      </c>
      <c r="G6" s="15" t="n">
        <v>25</v>
      </c>
      <c r="H6" s="15" t="n">
        <v>32</v>
      </c>
      <c r="I6" s="15" t="n">
        <v>42</v>
      </c>
      <c r="J6" s="15" t="n">
        <v>52</v>
      </c>
      <c r="K6" s="15" t="n">
        <v>64</v>
      </c>
      <c r="L6" s="15" t="n">
        <v>78</v>
      </c>
      <c r="M6" s="15" t="n">
        <v>95</v>
      </c>
      <c r="N6" s="26" t="n">
        <f aca="false">SUM(B6:M6)</f>
        <v>434</v>
      </c>
    </row>
    <row r="7" customFormat="false" ht="15" hidden="false" customHeight="false" outlineLevel="0" collapsed="false">
      <c r="A7" s="6" t="s">
        <v>118</v>
      </c>
      <c r="B7" s="27" t="n">
        <v>0.2</v>
      </c>
      <c r="C7" s="27" t="n">
        <v>0.25</v>
      </c>
      <c r="D7" s="27" t="n">
        <v>0.3</v>
      </c>
      <c r="E7" s="27" t="n">
        <v>0.35</v>
      </c>
      <c r="F7" s="27" t="n">
        <v>0.4</v>
      </c>
      <c r="G7" s="27" t="n">
        <v>0.45</v>
      </c>
      <c r="H7" s="27" t="n">
        <v>0.5</v>
      </c>
      <c r="I7" s="27" t="n">
        <v>0.55</v>
      </c>
      <c r="J7" s="27" t="n">
        <v>0.58</v>
      </c>
      <c r="K7" s="27" t="n">
        <v>0.6</v>
      </c>
      <c r="L7" s="27" t="n">
        <v>0.63</v>
      </c>
      <c r="M7" s="27" t="n">
        <v>0.65</v>
      </c>
      <c r="N7" s="28" t="n">
        <f aca="false">IFERROR(N8/N6,0)</f>
        <v>0.56221198156682</v>
      </c>
    </row>
    <row r="8" customFormat="false" ht="15" hidden="false" customHeight="false" outlineLevel="0" collapsed="false">
      <c r="A8" s="4" t="s">
        <v>71</v>
      </c>
      <c r="B8" s="18" t="n">
        <f aca="false">ROUND(B6*B7,0)</f>
        <v>1</v>
      </c>
      <c r="C8" s="18" t="n">
        <f aca="false">ROUND(C6*C7,0)</f>
        <v>1</v>
      </c>
      <c r="D8" s="18" t="n">
        <f aca="false">ROUND(D6*D7,0)</f>
        <v>2</v>
      </c>
      <c r="E8" s="18" t="n">
        <f aca="false">ROUND(E6*E7,0)</f>
        <v>4</v>
      </c>
      <c r="F8" s="18" t="n">
        <f aca="false">ROUND(F6*F7,0)</f>
        <v>7</v>
      </c>
      <c r="G8" s="18" t="n">
        <f aca="false">ROUND(G6*G7,0)</f>
        <v>11</v>
      </c>
      <c r="H8" s="18" t="n">
        <f aca="false">ROUND(H6*H7,0)</f>
        <v>16</v>
      </c>
      <c r="I8" s="18" t="n">
        <f aca="false">ROUND(I6*I7,0)</f>
        <v>23</v>
      </c>
      <c r="J8" s="18" t="n">
        <f aca="false">ROUND(J6*J7,0)</f>
        <v>30</v>
      </c>
      <c r="K8" s="18" t="n">
        <f aca="false">ROUND(K6*K7,0)</f>
        <v>38</v>
      </c>
      <c r="L8" s="18" t="n">
        <f aca="false">ROUND(L6*L7,0)</f>
        <v>49</v>
      </c>
      <c r="M8" s="18" t="n">
        <f aca="false">ROUND(M6*M7,0)</f>
        <v>62</v>
      </c>
      <c r="N8" s="26" t="n">
        <f aca="false">SUM(B8:M8)</f>
        <v>244</v>
      </c>
    </row>
    <row r="9" customFormat="false" ht="15" hidden="false" customHeight="false" outlineLevel="0" collapsed="false">
      <c r="A9" s="6" t="s">
        <v>72</v>
      </c>
      <c r="B9" s="19" t="n">
        <f aca="false">Assumptions!$C$16</f>
        <v>1056</v>
      </c>
      <c r="C9" s="19" t="n">
        <f aca="false">Assumptions!$C$16</f>
        <v>1056</v>
      </c>
      <c r="D9" s="19" t="n">
        <f aca="false">Assumptions!$C$16</f>
        <v>1056</v>
      </c>
      <c r="E9" s="19" t="n">
        <f aca="false">Assumptions!$C$16</f>
        <v>1056</v>
      </c>
      <c r="F9" s="19" t="n">
        <f aca="false">Assumptions!$C$16</f>
        <v>1056</v>
      </c>
      <c r="G9" s="19" t="n">
        <f aca="false">Assumptions!$C$16</f>
        <v>1056</v>
      </c>
      <c r="H9" s="19" t="n">
        <f aca="false">Assumptions!$C$16</f>
        <v>1056</v>
      </c>
      <c r="I9" s="19" t="n">
        <f aca="false">Assumptions!$C$16</f>
        <v>1056</v>
      </c>
      <c r="J9" s="19" t="n">
        <f aca="false">Assumptions!$C$16</f>
        <v>1056</v>
      </c>
      <c r="K9" s="19" t="n">
        <f aca="false">Assumptions!$C$16</f>
        <v>1056</v>
      </c>
      <c r="L9" s="19" t="n">
        <f aca="false">Assumptions!$C$16</f>
        <v>1056</v>
      </c>
      <c r="M9" s="19" t="n">
        <f aca="false">Assumptions!$C$16</f>
        <v>1056</v>
      </c>
      <c r="N9" s="20" t="n">
        <f aca="false">IFERROR(N10/N8,0)</f>
        <v>1056</v>
      </c>
    </row>
    <row r="10" customFormat="false" ht="15" hidden="false" customHeight="false" outlineLevel="0" collapsed="false">
      <c r="A10" s="4" t="s">
        <v>119</v>
      </c>
      <c r="B10" s="24" t="n">
        <f aca="false">B8*B9</f>
        <v>1056</v>
      </c>
      <c r="C10" s="24" t="n">
        <f aca="false">C8*C9</f>
        <v>1056</v>
      </c>
      <c r="D10" s="24" t="n">
        <f aca="false">D8*D9</f>
        <v>2112</v>
      </c>
      <c r="E10" s="24" t="n">
        <f aca="false">E8*E9</f>
        <v>4224</v>
      </c>
      <c r="F10" s="24" t="n">
        <f aca="false">F8*F9</f>
        <v>7392</v>
      </c>
      <c r="G10" s="24" t="n">
        <f aca="false">G8*G9</f>
        <v>11616</v>
      </c>
      <c r="H10" s="24" t="n">
        <f aca="false">H8*H9</f>
        <v>16896</v>
      </c>
      <c r="I10" s="24" t="n">
        <f aca="false">I8*I9</f>
        <v>24288</v>
      </c>
      <c r="J10" s="24" t="n">
        <f aca="false">J8*J9</f>
        <v>31680</v>
      </c>
      <c r="K10" s="24" t="n">
        <f aca="false">K8*K9</f>
        <v>40128</v>
      </c>
      <c r="L10" s="24" t="n">
        <f aca="false">L8*L9</f>
        <v>51744</v>
      </c>
      <c r="M10" s="24" t="n">
        <f aca="false">M8*M9</f>
        <v>65472</v>
      </c>
      <c r="N10" s="14" t="n">
        <f aca="false">SUM(B10:M10)</f>
        <v>257664</v>
      </c>
    </row>
    <row r="12" customFormat="false" ht="15" hidden="false" customHeight="false" outlineLevel="0" collapsed="false">
      <c r="A12" s="3" t="s">
        <v>120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customFormat="false" ht="15" hidden="false" customHeight="false" outlineLevel="0" collapsed="false">
      <c r="A13" s="4" t="s">
        <v>121</v>
      </c>
      <c r="B13" s="24" t="n">
        <f aca="false">B10*Assumptions!$B$5</f>
        <v>105.6</v>
      </c>
      <c r="C13" s="24" t="n">
        <f aca="false">C10*Assumptions!$B$5</f>
        <v>105.6</v>
      </c>
      <c r="D13" s="24" t="n">
        <f aca="false">D10*Assumptions!$B$5</f>
        <v>211.2</v>
      </c>
      <c r="E13" s="24" t="n">
        <f aca="false">E10*Assumptions!$B$5</f>
        <v>422.4</v>
      </c>
      <c r="F13" s="24" t="n">
        <f aca="false">F10*Assumptions!$B$5</f>
        <v>739.2</v>
      </c>
      <c r="G13" s="24" t="n">
        <f aca="false">G10*Assumptions!$B$5</f>
        <v>1161.6</v>
      </c>
      <c r="H13" s="24" t="n">
        <f aca="false">H10*Assumptions!$B$5</f>
        <v>1689.6</v>
      </c>
      <c r="I13" s="24" t="n">
        <f aca="false">I10*Assumptions!$B$5</f>
        <v>2428.8</v>
      </c>
      <c r="J13" s="24" t="n">
        <f aca="false">J10*Assumptions!$B$5</f>
        <v>3168</v>
      </c>
      <c r="K13" s="24" t="n">
        <f aca="false">K10*Assumptions!$B$5</f>
        <v>4012.8</v>
      </c>
      <c r="L13" s="24" t="n">
        <f aca="false">L10*Assumptions!$B$5</f>
        <v>5174.4</v>
      </c>
      <c r="M13" s="24" t="n">
        <f aca="false">M10*Assumptions!$B$5</f>
        <v>6547.2</v>
      </c>
      <c r="N13" s="14" t="n">
        <f aca="false">SUM(B13:M13)</f>
        <v>25766.4</v>
      </c>
    </row>
    <row r="14" customFormat="false" ht="15" hidden="false" customHeight="false" outlineLevel="0" collapsed="false">
      <c r="A14" s="6" t="s">
        <v>122</v>
      </c>
      <c r="B14" s="20" t="n">
        <f aca="false">-(B8*Assumptions!$B$8+B13*Assumptions!$B$7+IF(Assumptions!$B$6="Yes",B10*Assumptions!$B$7,0))</f>
        <v>-11.168</v>
      </c>
      <c r="C14" s="20" t="n">
        <f aca="false">-(C8*Assumptions!$B$8+C13*Assumptions!$B$7+IF(Assumptions!$B$6="Yes",C10*Assumptions!$B$7,0))</f>
        <v>-11.168</v>
      </c>
      <c r="D14" s="20" t="n">
        <f aca="false">-(D8*Assumptions!$B$8+D13*Assumptions!$B$7+IF(Assumptions!$B$6="Yes",D10*Assumptions!$B$7,0))</f>
        <v>-22.336</v>
      </c>
      <c r="E14" s="20" t="n">
        <f aca="false">-(E8*Assumptions!$B$8+E13*Assumptions!$B$7+IF(Assumptions!$B$6="Yes",E10*Assumptions!$B$7,0))</f>
        <v>-44.672</v>
      </c>
      <c r="F14" s="20" t="n">
        <f aca="false">-(F8*Assumptions!$B$8+F13*Assumptions!$B$7+IF(Assumptions!$B$6="Yes",F10*Assumptions!$B$7,0))</f>
        <v>-78.176</v>
      </c>
      <c r="G14" s="20" t="n">
        <f aca="false">-(G8*Assumptions!$B$8+G13*Assumptions!$B$7+IF(Assumptions!$B$6="Yes",G10*Assumptions!$B$7,0))</f>
        <v>-122.848</v>
      </c>
      <c r="H14" s="20" t="n">
        <f aca="false">-(H8*Assumptions!$B$8+H13*Assumptions!$B$7+IF(Assumptions!$B$6="Yes",H10*Assumptions!$B$7,0))</f>
        <v>-178.688</v>
      </c>
      <c r="I14" s="20" t="n">
        <f aca="false">-(I8*Assumptions!$B$8+I13*Assumptions!$B$7+IF(Assumptions!$B$6="Yes",I10*Assumptions!$B$7,0))</f>
        <v>-256.864</v>
      </c>
      <c r="J14" s="20" t="n">
        <f aca="false">-(J8*Assumptions!$B$8+J13*Assumptions!$B$7+IF(Assumptions!$B$6="Yes",J10*Assumptions!$B$7,0))</f>
        <v>-335.04</v>
      </c>
      <c r="K14" s="20" t="n">
        <f aca="false">-(K8*Assumptions!$B$8+K13*Assumptions!$B$7+IF(Assumptions!$B$6="Yes",K10*Assumptions!$B$7,0))</f>
        <v>-424.384</v>
      </c>
      <c r="L14" s="20" t="n">
        <f aca="false">-(L8*Assumptions!$B$8+L13*Assumptions!$B$7+IF(Assumptions!$B$6="Yes",L10*Assumptions!$B$7,0))</f>
        <v>-547.232</v>
      </c>
      <c r="M14" s="20" t="n">
        <f aca="false">-(M8*Assumptions!$B$8+M13*Assumptions!$B$7+IF(Assumptions!$B$6="Yes",M10*Assumptions!$B$7,0))</f>
        <v>-692.416</v>
      </c>
      <c r="N14" s="29" t="n">
        <f aca="false">SUM(B14:M14)</f>
        <v>-2724.992</v>
      </c>
    </row>
    <row r="15" customFormat="false" ht="15" hidden="false" customHeight="false" outlineLevel="0" collapsed="false">
      <c r="A15" s="4" t="s">
        <v>123</v>
      </c>
      <c r="B15" s="30" t="n">
        <f aca="false">B13+B14</f>
        <v>94.432</v>
      </c>
      <c r="C15" s="30" t="n">
        <f aca="false">C13+C14</f>
        <v>94.432</v>
      </c>
      <c r="D15" s="30" t="n">
        <f aca="false">D13+D14</f>
        <v>188.864</v>
      </c>
      <c r="E15" s="30" t="n">
        <f aca="false">E13+E14</f>
        <v>377.728</v>
      </c>
      <c r="F15" s="30" t="n">
        <f aca="false">F13+F14</f>
        <v>661.024</v>
      </c>
      <c r="G15" s="30" t="n">
        <f aca="false">G13+G14</f>
        <v>1038.752</v>
      </c>
      <c r="H15" s="30" t="n">
        <f aca="false">H13+H14</f>
        <v>1510.912</v>
      </c>
      <c r="I15" s="30" t="n">
        <f aca="false">I13+I14</f>
        <v>2171.936</v>
      </c>
      <c r="J15" s="30" t="n">
        <f aca="false">J13+J14</f>
        <v>2832.96</v>
      </c>
      <c r="K15" s="30" t="n">
        <f aca="false">K13+K14</f>
        <v>3588.416</v>
      </c>
      <c r="L15" s="30" t="n">
        <f aca="false">L13+L14</f>
        <v>4627.168</v>
      </c>
      <c r="M15" s="30" t="n">
        <f aca="false">M13+M14</f>
        <v>5854.784</v>
      </c>
      <c r="N15" s="23" t="n">
        <f aca="false">SUM(B15:M15)</f>
        <v>23041.408</v>
      </c>
    </row>
    <row r="16" customFormat="false" ht="15" hidden="false" customHeight="false" outlineLevel="0" collapsed="false">
      <c r="A16" s="6" t="s">
        <v>124</v>
      </c>
      <c r="B16" s="31" t="n">
        <f aca="false">IFERROR(B15/B13,0)</f>
        <v>0.894242424242424</v>
      </c>
      <c r="C16" s="31" t="n">
        <f aca="false">IFERROR(C15/C13,0)</f>
        <v>0.894242424242424</v>
      </c>
      <c r="D16" s="31" t="n">
        <f aca="false">IFERROR(D15/D13,0)</f>
        <v>0.894242424242424</v>
      </c>
      <c r="E16" s="31" t="n">
        <f aca="false">IFERROR(E15/E13,0)</f>
        <v>0.894242424242424</v>
      </c>
      <c r="F16" s="31" t="n">
        <f aca="false">IFERROR(F15/F13,0)</f>
        <v>0.894242424242424</v>
      </c>
      <c r="G16" s="31" t="n">
        <f aca="false">IFERROR(G15/G13,0)</f>
        <v>0.894242424242424</v>
      </c>
      <c r="H16" s="31" t="n">
        <f aca="false">IFERROR(H15/H13,0)</f>
        <v>0.894242424242424</v>
      </c>
      <c r="I16" s="31" t="n">
        <f aca="false">IFERROR(I15/I13,0)</f>
        <v>0.894242424242424</v>
      </c>
      <c r="J16" s="31" t="n">
        <f aca="false">IFERROR(J15/J13,0)</f>
        <v>0.894242424242424</v>
      </c>
      <c r="K16" s="31" t="n">
        <f aca="false">IFERROR(K15/K13,0)</f>
        <v>0.894242424242424</v>
      </c>
      <c r="L16" s="31" t="n">
        <f aca="false">IFERROR(L15/L13,0)</f>
        <v>0.894242424242424</v>
      </c>
      <c r="M16" s="31" t="n">
        <f aca="false">IFERROR(M15/M13,0)</f>
        <v>0.894242424242424</v>
      </c>
      <c r="N16" s="32" t="n">
        <f aca="false">IFERROR(N15/N13,0)</f>
        <v>0.894242424242424</v>
      </c>
    </row>
    <row r="18" customFormat="false" ht="15" hidden="false" customHeight="false" outlineLevel="0" collapsed="false">
      <c r="A18" s="3" t="s">
        <v>125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customFormat="false" ht="15" hidden="false" customHeight="false" outlineLevel="0" collapsed="false">
      <c r="A19" s="6" t="s">
        <v>76</v>
      </c>
      <c r="B19" s="19" t="n">
        <f aca="false">-'Use of Funds'!D13</f>
        <v>-28501</v>
      </c>
      <c r="C19" s="19" t="n">
        <f aca="false">-'Use of Funds'!E13</f>
        <v>-33835</v>
      </c>
      <c r="D19" s="19" t="n">
        <f aca="false">-'Use of Funds'!F13</f>
        <v>-25834</v>
      </c>
      <c r="E19" s="19" t="n">
        <f aca="false">-'Use of Funds'!G13</f>
        <v>-24833</v>
      </c>
      <c r="F19" s="19" t="n">
        <f aca="false">-'Use of Funds'!H13</f>
        <v>-16500</v>
      </c>
      <c r="G19" s="19" t="n">
        <f aca="false">-'Use of Funds'!I13</f>
        <v>-17000</v>
      </c>
      <c r="H19" s="19" t="n">
        <f aca="false">-'Use of Funds'!J13</f>
        <v>-17500</v>
      </c>
      <c r="I19" s="19" t="n">
        <f aca="false">-'Use of Funds'!K13</f>
        <v>-17500</v>
      </c>
      <c r="J19" s="19" t="n">
        <f aca="false">-'Use of Funds'!L13</f>
        <v>-17750</v>
      </c>
      <c r="K19" s="19" t="n">
        <f aca="false">-'Use of Funds'!M13</f>
        <v>-17750</v>
      </c>
      <c r="L19" s="19" t="n">
        <f aca="false">-'Use of Funds'!N13</f>
        <v>-16750</v>
      </c>
      <c r="M19" s="19" t="n">
        <f aca="false">-'Use of Funds'!O13</f>
        <v>-16247</v>
      </c>
      <c r="N19" s="29" t="n">
        <f aca="false">SUM(B19:M19)</f>
        <v>-250000</v>
      </c>
    </row>
    <row r="20" customFormat="false" ht="15" hidden="false" customHeight="false" outlineLevel="0" collapsed="false">
      <c r="A20" s="4" t="s">
        <v>126</v>
      </c>
      <c r="B20" s="30" t="n">
        <f aca="false">B15+B19</f>
        <v>-28406.568</v>
      </c>
      <c r="C20" s="30" t="n">
        <f aca="false">C15+C19</f>
        <v>-33740.568</v>
      </c>
      <c r="D20" s="30" t="n">
        <f aca="false">D15+D19</f>
        <v>-25645.136</v>
      </c>
      <c r="E20" s="30" t="n">
        <f aca="false">E15+E19</f>
        <v>-24455.272</v>
      </c>
      <c r="F20" s="30" t="n">
        <f aca="false">F15+F19</f>
        <v>-15838.976</v>
      </c>
      <c r="G20" s="30" t="n">
        <f aca="false">G15+G19</f>
        <v>-15961.248</v>
      </c>
      <c r="H20" s="30" t="n">
        <f aca="false">H15+H19</f>
        <v>-15989.088</v>
      </c>
      <c r="I20" s="30" t="n">
        <f aca="false">I15+I19</f>
        <v>-15328.064</v>
      </c>
      <c r="J20" s="30" t="n">
        <f aca="false">J15+J19</f>
        <v>-14917.04</v>
      </c>
      <c r="K20" s="30" t="n">
        <f aca="false">K15+K19</f>
        <v>-14161.584</v>
      </c>
      <c r="L20" s="30" t="n">
        <f aca="false">L15+L19</f>
        <v>-12122.832</v>
      </c>
      <c r="M20" s="30" t="n">
        <f aca="false">M15+M19</f>
        <v>-10392.216</v>
      </c>
      <c r="N20" s="23" t="n">
        <f aca="false">SUM(B20:M20)</f>
        <v>-226958.592</v>
      </c>
    </row>
    <row r="21" customFormat="false" ht="15" hidden="false" customHeight="false" outlineLevel="0" collapsed="false">
      <c r="A21" s="6" t="s">
        <v>127</v>
      </c>
      <c r="B21" s="19" t="n">
        <f aca="false">Assumptions!$B$30</f>
        <v>250000</v>
      </c>
      <c r="C21" s="20" t="n">
        <f aca="false">B22</f>
        <v>221593.432</v>
      </c>
      <c r="D21" s="20" t="n">
        <f aca="false">C22</f>
        <v>187852.864</v>
      </c>
      <c r="E21" s="20" t="n">
        <f aca="false">D22</f>
        <v>162207.728</v>
      </c>
      <c r="F21" s="20" t="n">
        <f aca="false">E22</f>
        <v>137752.456</v>
      </c>
      <c r="G21" s="20" t="n">
        <f aca="false">F22</f>
        <v>121913.48</v>
      </c>
      <c r="H21" s="20" t="n">
        <f aca="false">G22</f>
        <v>105952.232</v>
      </c>
      <c r="I21" s="20" t="n">
        <f aca="false">H22</f>
        <v>89963.144</v>
      </c>
      <c r="J21" s="20" t="n">
        <f aca="false">I22</f>
        <v>74635.08</v>
      </c>
      <c r="K21" s="20" t="n">
        <f aca="false">J22</f>
        <v>59718.04</v>
      </c>
      <c r="L21" s="20" t="n">
        <f aca="false">K22</f>
        <v>45556.456</v>
      </c>
      <c r="M21" s="20" t="n">
        <f aca="false">L22</f>
        <v>33433.624</v>
      </c>
    </row>
    <row r="22" customFormat="false" ht="15" hidden="false" customHeight="false" outlineLevel="0" collapsed="false">
      <c r="A22" s="4" t="s">
        <v>128</v>
      </c>
      <c r="B22" s="24" t="n">
        <f aca="false">B21+B20</f>
        <v>221593.432</v>
      </c>
      <c r="C22" s="24" t="n">
        <f aca="false">C21+C20</f>
        <v>187852.864</v>
      </c>
      <c r="D22" s="24" t="n">
        <f aca="false">D21+D20</f>
        <v>162207.728</v>
      </c>
      <c r="E22" s="24" t="n">
        <f aca="false">E21+E20</f>
        <v>137752.456</v>
      </c>
      <c r="F22" s="24" t="n">
        <f aca="false">F21+F20</f>
        <v>121913.48</v>
      </c>
      <c r="G22" s="24" t="n">
        <f aca="false">G21+G20</f>
        <v>105952.232</v>
      </c>
      <c r="H22" s="24" t="n">
        <f aca="false">H21+H20</f>
        <v>89963.144</v>
      </c>
      <c r="I22" s="24" t="n">
        <f aca="false">I21+I20</f>
        <v>74635.08</v>
      </c>
      <c r="J22" s="24" t="n">
        <f aca="false">J21+J20</f>
        <v>59718.04</v>
      </c>
      <c r="K22" s="24" t="n">
        <f aca="false">K21+K20</f>
        <v>45556.456</v>
      </c>
      <c r="L22" s="24" t="n">
        <f aca="false">L21+L20</f>
        <v>33433.624</v>
      </c>
      <c r="M22" s="24" t="n">
        <f aca="false">M21+M20</f>
        <v>23041.408</v>
      </c>
      <c r="N22" s="14" t="n">
        <f aca="false">M22</f>
        <v>23041.408</v>
      </c>
    </row>
    <row r="24" customFormat="false" ht="15" hidden="false" customHeight="false" outlineLevel="0" collapsed="false">
      <c r="A24" s="6" t="s">
        <v>129</v>
      </c>
      <c r="B24" s="25" t="n">
        <f aca="false">B8</f>
        <v>1</v>
      </c>
      <c r="C24" s="25" t="n">
        <f aca="false">B24+C8</f>
        <v>2</v>
      </c>
      <c r="D24" s="25" t="n">
        <f aca="false">C24+D8</f>
        <v>4</v>
      </c>
      <c r="E24" s="25" t="n">
        <f aca="false">D24+E8</f>
        <v>8</v>
      </c>
      <c r="F24" s="25" t="n">
        <f aca="false">E24+F8</f>
        <v>15</v>
      </c>
      <c r="G24" s="25" t="n">
        <f aca="false">F24+G8</f>
        <v>26</v>
      </c>
      <c r="H24" s="25" t="n">
        <f aca="false">G24+H8</f>
        <v>42</v>
      </c>
      <c r="I24" s="25" t="n">
        <f aca="false">H24+I8</f>
        <v>65</v>
      </c>
      <c r="J24" s="25" t="n">
        <f aca="false">I24+J8</f>
        <v>95</v>
      </c>
      <c r="K24" s="25" t="n">
        <f aca="false">J24+K8</f>
        <v>133</v>
      </c>
      <c r="L24" s="25" t="n">
        <f aca="false">K24+L8</f>
        <v>182</v>
      </c>
      <c r="M24" s="25" t="n">
        <f aca="false">L24+M8</f>
        <v>244</v>
      </c>
    </row>
    <row r="25" customFormat="false" ht="15" hidden="false" customHeight="false" outlineLevel="0" collapsed="false">
      <c r="A25" s="6" t="s">
        <v>130</v>
      </c>
      <c r="B25" s="20" t="n">
        <f aca="false">B13</f>
        <v>105.6</v>
      </c>
      <c r="C25" s="20" t="n">
        <f aca="false">B25+C13</f>
        <v>211.2</v>
      </c>
      <c r="D25" s="20" t="n">
        <f aca="false">C25+D13</f>
        <v>422.4</v>
      </c>
      <c r="E25" s="20" t="n">
        <f aca="false">D25+E13</f>
        <v>844.8</v>
      </c>
      <c r="F25" s="20" t="n">
        <f aca="false">E25+F13</f>
        <v>1584</v>
      </c>
      <c r="G25" s="20" t="n">
        <f aca="false">F25+G13</f>
        <v>2745.6</v>
      </c>
      <c r="H25" s="20" t="n">
        <f aca="false">G25+H13</f>
        <v>4435.2</v>
      </c>
      <c r="I25" s="20" t="n">
        <f aca="false">H25+I13</f>
        <v>6864</v>
      </c>
      <c r="J25" s="20" t="n">
        <f aca="false">I25+J13</f>
        <v>10032</v>
      </c>
      <c r="K25" s="20" t="n">
        <f aca="false">J25+K13</f>
        <v>14044.8</v>
      </c>
      <c r="L25" s="20" t="n">
        <f aca="false">K25+L13</f>
        <v>19219.2</v>
      </c>
      <c r="M25" s="20" t="n">
        <f aca="false">L25+M13</f>
        <v>25766.4</v>
      </c>
    </row>
    <row r="27" customFormat="false" ht="15" hidden="false" customHeight="false" outlineLevel="0" collapsed="false">
      <c r="A27" s="2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6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132</v>
      </c>
    </row>
    <row r="2" customFormat="false" ht="15" hidden="false" customHeight="false" outlineLevel="0" collapsed="false">
      <c r="A2" s="2" t="s">
        <v>133</v>
      </c>
    </row>
    <row r="4" customFormat="false" ht="15" hidden="false" customHeight="false" outlineLevel="0" collapsed="false">
      <c r="A4" s="6"/>
      <c r="B4" s="11" t="s">
        <v>134</v>
      </c>
      <c r="C4" s="11" t="s">
        <v>135</v>
      </c>
      <c r="D4" s="11" t="s">
        <v>136</v>
      </c>
    </row>
    <row r="5" customFormat="false" ht="15" hidden="false" customHeight="false" outlineLevel="0" collapsed="false">
      <c r="A5" s="6" t="s">
        <v>137</v>
      </c>
      <c r="B5" s="16" t="n">
        <f aca="false">Assumptions!B20</f>
        <v>30</v>
      </c>
      <c r="C5" s="25" t="n">
        <f aca="false">Assumptions!C20</f>
        <v>220</v>
      </c>
      <c r="D5" s="25" t="n">
        <f aca="false">Assumptions!D20</f>
        <v>700</v>
      </c>
      <c r="E5" s="2" t="s">
        <v>138</v>
      </c>
    </row>
    <row r="6" customFormat="false" ht="15" hidden="false" customHeight="false" outlineLevel="0" collapsed="false">
      <c r="A6" s="6" t="s">
        <v>68</v>
      </c>
      <c r="B6" s="16" t="n">
        <f aca="false">Assumptions!B21</f>
        <v>434</v>
      </c>
      <c r="C6" s="25" t="n">
        <f aca="false">Assumptions!C21</f>
        <v>4912</v>
      </c>
      <c r="D6" s="25" t="n">
        <f aca="false">Assumptions!D21</f>
        <v>17742</v>
      </c>
    </row>
    <row r="7" customFormat="false" ht="15" hidden="false" customHeight="false" outlineLevel="0" collapsed="false">
      <c r="A7" s="4" t="s">
        <v>118</v>
      </c>
      <c r="B7" s="33" t="n">
        <f aca="false">Assumptions!B22</f>
        <v>0.56221198156682</v>
      </c>
      <c r="C7" s="31" t="n">
        <f aca="false">Assumptions!C22</f>
        <v>0.57</v>
      </c>
      <c r="D7" s="31" t="n">
        <f aca="false">Assumptions!D22</f>
        <v>0.62</v>
      </c>
      <c r="E7" s="2" t="s">
        <v>139</v>
      </c>
    </row>
    <row r="8" customFormat="false" ht="15" hidden="false" customHeight="false" outlineLevel="0" collapsed="false">
      <c r="A8" s="4" t="s">
        <v>71</v>
      </c>
      <c r="B8" s="16" t="n">
        <f aca="false">Assumptions!B23</f>
        <v>244</v>
      </c>
      <c r="C8" s="25" t="n">
        <f aca="false">Assumptions!C23</f>
        <v>2800</v>
      </c>
      <c r="D8" s="25" t="n">
        <f aca="false">Assumptions!D23</f>
        <v>11000</v>
      </c>
    </row>
    <row r="9" customFormat="false" ht="15" hidden="false" customHeight="false" outlineLevel="0" collapsed="false">
      <c r="A9" s="6" t="s">
        <v>72</v>
      </c>
      <c r="B9" s="19" t="n">
        <f aca="false">Assumptions!B24</f>
        <v>1056</v>
      </c>
      <c r="C9" s="20" t="n">
        <f aca="false">Assumptions!C24</f>
        <v>1150</v>
      </c>
      <c r="D9" s="20" t="n">
        <f aca="false">Assumptions!D24</f>
        <v>1450</v>
      </c>
    </row>
    <row r="10" customFormat="false" ht="15" hidden="false" customHeight="false" outlineLevel="0" collapsed="false">
      <c r="A10" s="4" t="s">
        <v>140</v>
      </c>
      <c r="B10" s="30" t="n">
        <f aca="false">B8*B9</f>
        <v>257664</v>
      </c>
      <c r="C10" s="30" t="n">
        <f aca="false">C8*C9</f>
        <v>3220000</v>
      </c>
      <c r="D10" s="30" t="n">
        <f aca="false">D8*D9</f>
        <v>15950000</v>
      </c>
    </row>
    <row r="12" customFormat="false" ht="15" hidden="false" customHeight="false" outlineLevel="0" collapsed="false">
      <c r="A12" s="4" t="s">
        <v>121</v>
      </c>
      <c r="B12" s="14" t="n">
        <f aca="false">B10*Assumptions!$B$5</f>
        <v>25766.4</v>
      </c>
      <c r="C12" s="14" t="n">
        <f aca="false">C10*Assumptions!$B$5</f>
        <v>322000</v>
      </c>
      <c r="D12" s="14" t="n">
        <f aca="false">D10*Assumptions!$B$5</f>
        <v>1595000</v>
      </c>
      <c r="E12" s="2" t="s">
        <v>141</v>
      </c>
    </row>
    <row r="13" customFormat="false" ht="15" hidden="false" customHeight="false" outlineLevel="0" collapsed="false">
      <c r="A13" s="6" t="s">
        <v>122</v>
      </c>
      <c r="B13" s="20" t="n">
        <f aca="false">-(B8*Assumptions!$B$8+B12*Assumptions!$B$7+IF(Assumptions!$B$6="Yes",B10*Assumptions!$B$7,0))</f>
        <v>-2724.992</v>
      </c>
      <c r="C13" s="20" t="n">
        <f aca="false">-(C8*Assumptions!$B$8+C12*Assumptions!$B$7+IF(Assumptions!$B$6="Yes",C10*Assumptions!$B$7,0))</f>
        <v>-32060</v>
      </c>
      <c r="D13" s="20" t="n">
        <f aca="false">-(D8*Assumptions!$B$8+D12*Assumptions!$B$7+IF(Assumptions!$B$6="Yes",D10*Assumptions!$B$7,0))</f>
        <v>-135850</v>
      </c>
    </row>
    <row r="14" customFormat="false" ht="15" hidden="false" customHeight="false" outlineLevel="0" collapsed="false">
      <c r="A14" s="4" t="s">
        <v>123</v>
      </c>
      <c r="B14" s="30" t="n">
        <f aca="false">B12+B13</f>
        <v>23041.408</v>
      </c>
      <c r="C14" s="30" t="n">
        <f aca="false">C12+C13</f>
        <v>289940</v>
      </c>
      <c r="D14" s="30" t="n">
        <f aca="false">D12+D13</f>
        <v>1459150</v>
      </c>
    </row>
    <row r="15" customFormat="false" ht="15" hidden="false" customHeight="false" outlineLevel="0" collapsed="false">
      <c r="A15" s="6" t="s">
        <v>124</v>
      </c>
      <c r="B15" s="31" t="n">
        <f aca="false">IFERROR(B14/B12,0)</f>
        <v>0.894242424242424</v>
      </c>
      <c r="C15" s="31" t="n">
        <f aca="false">IFERROR(C14/C12,0)</f>
        <v>0.900434782608696</v>
      </c>
      <c r="D15" s="31" t="n">
        <f aca="false">IFERROR(D14/D12,0)</f>
        <v>0.914827586206897</v>
      </c>
    </row>
    <row r="17" customFormat="false" ht="15" hidden="false" customHeight="false" outlineLevel="0" collapsed="false">
      <c r="A17" s="6" t="s">
        <v>76</v>
      </c>
      <c r="B17" s="19" t="n">
        <f aca="false">-Assumptions!B26</f>
        <v>-250000</v>
      </c>
      <c r="C17" s="20" t="n">
        <f aca="false">-Assumptions!C26</f>
        <v>-720000</v>
      </c>
      <c r="D17" s="20" t="n">
        <f aca="false">-Assumptions!D26</f>
        <v>-1850000</v>
      </c>
      <c r="E17" s="2" t="s">
        <v>142</v>
      </c>
    </row>
    <row r="18" customFormat="false" ht="15" hidden="false" customHeight="false" outlineLevel="0" collapsed="false">
      <c r="A18" s="4" t="s">
        <v>126</v>
      </c>
      <c r="B18" s="23" t="n">
        <f aca="false">B14+B17</f>
        <v>-226958.592</v>
      </c>
      <c r="C18" s="23" t="n">
        <f aca="false">C14+C17</f>
        <v>-430060</v>
      </c>
      <c r="D18" s="23" t="n">
        <f aca="false">D14+D17</f>
        <v>-390850</v>
      </c>
    </row>
    <row r="20" customFormat="false" ht="15" hidden="false" customHeight="false" outlineLevel="0" collapsed="false">
      <c r="A20" s="4" t="s">
        <v>143</v>
      </c>
      <c r="B20" s="24" t="n">
        <f aca="false">-B18</f>
        <v>226958.592</v>
      </c>
      <c r="C20" s="24" t="n">
        <f aca="false">-B18-C18</f>
        <v>657018.592</v>
      </c>
      <c r="D20" s="24" t="n">
        <f aca="false">-B18-C18-D18</f>
        <v>1047868.592</v>
      </c>
    </row>
    <row r="22" customFormat="false" ht="15" hidden="false" customHeight="false" outlineLevel="0" collapsed="false">
      <c r="A22" s="4" t="s">
        <v>144</v>
      </c>
      <c r="D22" s="17" t="n">
        <f aca="false">IFERROR(D8/'Market Sizing'!B14,0)</f>
        <v>0.0366666666666667</v>
      </c>
      <c r="E22" s="2" t="s">
        <v>145</v>
      </c>
    </row>
    <row r="24" customFormat="false" ht="15" hidden="false" customHeight="false" outlineLevel="0" collapsed="false">
      <c r="A24" s="2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6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147</v>
      </c>
    </row>
    <row r="2" customFormat="false" ht="15" hidden="false" customHeight="false" outlineLevel="0" collapsed="false">
      <c r="A2" s="2" t="s">
        <v>148</v>
      </c>
    </row>
    <row r="4" customFormat="false" ht="15" hidden="false" customHeight="false" outlineLevel="0" collapsed="false">
      <c r="A4" s="6"/>
      <c r="B4" s="11" t="s">
        <v>63</v>
      </c>
      <c r="C4" s="11" t="s">
        <v>64</v>
      </c>
      <c r="D4" s="11" t="s">
        <v>65</v>
      </c>
    </row>
    <row r="5" customFormat="false" ht="15" hidden="false" customHeight="false" outlineLevel="0" collapsed="false">
      <c r="A5" s="6" t="s">
        <v>72</v>
      </c>
      <c r="B5" s="19" t="n">
        <f aca="false">'P&amp;L 3Y'!B9</f>
        <v>1056</v>
      </c>
      <c r="C5" s="19" t="n">
        <f aca="false">'P&amp;L 3Y'!C9</f>
        <v>1150</v>
      </c>
      <c r="D5" s="19" t="n">
        <f aca="false">'P&amp;L 3Y'!D9</f>
        <v>1450</v>
      </c>
    </row>
    <row r="6" customFormat="false" ht="15" hidden="false" customHeight="false" outlineLevel="0" collapsed="false">
      <c r="A6" s="4" t="s">
        <v>149</v>
      </c>
      <c r="B6" s="24" t="n">
        <f aca="false">B5*Assumptions!$B$5</f>
        <v>105.6</v>
      </c>
      <c r="C6" s="24" t="n">
        <f aca="false">C5*Assumptions!$B$5</f>
        <v>115</v>
      </c>
      <c r="D6" s="24" t="n">
        <f aca="false">D5*Assumptions!$B$5</f>
        <v>145</v>
      </c>
    </row>
    <row r="7" customFormat="false" ht="15" hidden="false" customHeight="false" outlineLevel="0" collapsed="false">
      <c r="A7" s="6" t="s">
        <v>150</v>
      </c>
      <c r="B7" s="20" t="n">
        <f aca="false">-(Assumptions!$B$8+B6*Assumptions!$B$7+IF(Assumptions!$B$6="Yes",B5*Assumptions!$B$7,0))</f>
        <v>-11.168</v>
      </c>
      <c r="C7" s="20" t="n">
        <f aca="false">-(Assumptions!$B$8+C6*Assumptions!$B$7+IF(Assumptions!$B$6="Yes",C5*Assumptions!$B$7,0))</f>
        <v>-11.45</v>
      </c>
      <c r="D7" s="20" t="n">
        <f aca="false">-(Assumptions!$B$8+D6*Assumptions!$B$7+IF(Assumptions!$B$6="Yes",D5*Assumptions!$B$7,0))</f>
        <v>-12.35</v>
      </c>
    </row>
    <row r="8" customFormat="false" ht="15" hidden="false" customHeight="false" outlineLevel="0" collapsed="false">
      <c r="A8" s="4" t="s">
        <v>151</v>
      </c>
      <c r="B8" s="30" t="n">
        <f aca="false">B6+B7</f>
        <v>94.432</v>
      </c>
      <c r="C8" s="30" t="n">
        <f aca="false">C6+C7</f>
        <v>103.55</v>
      </c>
      <c r="D8" s="30" t="n">
        <f aca="false">D6+D7</f>
        <v>132.65</v>
      </c>
    </row>
    <row r="9" customFormat="false" ht="15" hidden="false" customHeight="false" outlineLevel="0" collapsed="false">
      <c r="A9" s="6" t="s">
        <v>74</v>
      </c>
      <c r="B9" s="19" t="n">
        <f aca="false">Assumptions!B25</f>
        <v>163.934426229508</v>
      </c>
      <c r="C9" s="19" t="n">
        <f aca="false">Assumptions!C25</f>
        <v>55</v>
      </c>
      <c r="D9" s="19" t="n">
        <f aca="false">Assumptions!D25</f>
        <v>40</v>
      </c>
      <c r="E9" s="2" t="s">
        <v>152</v>
      </c>
    </row>
    <row r="10" customFormat="false" ht="15" hidden="false" customHeight="false" outlineLevel="0" collapsed="false">
      <c r="A10" s="4" t="s">
        <v>153</v>
      </c>
      <c r="B10" s="30" t="n">
        <f aca="false">B8-B9</f>
        <v>-69.5024262295082</v>
      </c>
      <c r="C10" s="30" t="n">
        <f aca="false">C8-C9</f>
        <v>48.55</v>
      </c>
      <c r="D10" s="30" t="n">
        <f aca="false">D8-D9</f>
        <v>92.65</v>
      </c>
      <c r="E10" s="2" t="s">
        <v>154</v>
      </c>
    </row>
    <row r="12" customFormat="false" ht="15" hidden="false" customHeight="false" outlineLevel="0" collapsed="false">
      <c r="A12" s="3" t="s">
        <v>155</v>
      </c>
      <c r="B12" s="3"/>
      <c r="C12" s="3"/>
      <c r="D12" s="3"/>
      <c r="E12" s="3"/>
    </row>
    <row r="13" customFormat="false" ht="15" hidden="false" customHeight="false" outlineLevel="0" collapsed="false">
      <c r="A13" s="6" t="s">
        <v>156</v>
      </c>
      <c r="B13" s="19" t="n">
        <f aca="false">'Use of Funds'!C10/Assumptions!B20</f>
        <v>500</v>
      </c>
      <c r="E13" s="2" t="s">
        <v>157</v>
      </c>
    </row>
    <row r="14" customFormat="false" ht="15" hidden="false" customHeight="false" outlineLevel="0" collapsed="false">
      <c r="A14" s="6" t="s">
        <v>158</v>
      </c>
      <c r="B14" s="34" t="n">
        <v>20</v>
      </c>
    </row>
    <row r="15" customFormat="false" ht="15" hidden="false" customHeight="false" outlineLevel="0" collapsed="false">
      <c r="A15" s="6" t="s">
        <v>159</v>
      </c>
      <c r="B15" s="15" t="n">
        <v>3</v>
      </c>
    </row>
    <row r="16" customFormat="false" ht="15" hidden="false" customHeight="false" outlineLevel="0" collapsed="false">
      <c r="A16" s="4" t="s">
        <v>160</v>
      </c>
      <c r="B16" s="24" t="n">
        <f aca="false">B14*C8</f>
        <v>2071</v>
      </c>
    </row>
    <row r="17" customFormat="false" ht="15" hidden="false" customHeight="false" outlineLevel="0" collapsed="false">
      <c r="A17" s="4" t="s">
        <v>161</v>
      </c>
      <c r="B17" s="24" t="n">
        <f aca="false">B16*B15</f>
        <v>6213</v>
      </c>
    </row>
    <row r="18" customFormat="false" ht="15" hidden="false" customHeight="false" outlineLevel="0" collapsed="false">
      <c r="A18" s="4" t="s">
        <v>162</v>
      </c>
      <c r="B18" s="35" t="n">
        <f aca="false">IFERROR(B17/B13,0)</f>
        <v>12.426</v>
      </c>
    </row>
    <row r="19" customFormat="false" ht="15" hidden="false" customHeight="false" outlineLevel="0" collapsed="false">
      <c r="A19" s="6" t="s">
        <v>163</v>
      </c>
      <c r="B19" s="36" t="n">
        <f aca="false">IFERROR(B13/C8,0)</f>
        <v>4.82858522452921</v>
      </c>
    </row>
    <row r="21" customFormat="false" ht="15" hidden="false" customHeight="false" outlineLevel="0" collapsed="false">
      <c r="A21" s="2" t="s">
        <v>164</v>
      </c>
    </row>
    <row r="22" customFormat="false" ht="15" hidden="false" customHeight="false" outlineLevel="0" collapsed="false">
      <c r="A22" s="2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17"/>
    <col collapsed="false" customWidth="true" hidden="false" outlineLevel="0" max="6" min="6" style="0" width="58"/>
  </cols>
  <sheetData>
    <row r="1" customFormat="false" ht="17.35" hidden="false" customHeight="false" outlineLevel="0" collapsed="false">
      <c r="A1" s="1" t="s">
        <v>166</v>
      </c>
    </row>
    <row r="2" customFormat="false" ht="15" hidden="false" customHeight="false" outlineLevel="0" collapsed="false">
      <c r="A2" s="2" t="s">
        <v>167</v>
      </c>
    </row>
    <row r="4" customFormat="false" ht="15" hidden="false" customHeight="false" outlineLevel="0" collapsed="false">
      <c r="A4" s="3" t="s">
        <v>168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6" t="s">
        <v>169</v>
      </c>
      <c r="B5" s="15" t="n">
        <v>3900</v>
      </c>
      <c r="F5" s="2" t="s">
        <v>170</v>
      </c>
    </row>
    <row r="6" customFormat="false" ht="15" hidden="false" customHeight="false" outlineLevel="0" collapsed="false">
      <c r="A6" s="6" t="s">
        <v>171</v>
      </c>
      <c r="B6" s="37" t="n">
        <v>300000</v>
      </c>
      <c r="F6" s="2" t="s">
        <v>172</v>
      </c>
    </row>
    <row r="7" customFormat="false" ht="15" hidden="false" customHeight="false" outlineLevel="0" collapsed="false">
      <c r="A7" s="4" t="s">
        <v>173</v>
      </c>
      <c r="B7" s="23" t="n">
        <f aca="false">B5*B6</f>
        <v>1170000000</v>
      </c>
    </row>
    <row r="9" customFormat="false" ht="15" hidden="false" customHeight="false" outlineLevel="0" collapsed="false">
      <c r="A9" s="3" t="s">
        <v>174</v>
      </c>
      <c r="B9" s="3"/>
      <c r="C9" s="3"/>
      <c r="D9" s="3"/>
      <c r="E9" s="3"/>
      <c r="F9" s="3"/>
    </row>
    <row r="10" customFormat="false" ht="15" hidden="false" customHeight="false" outlineLevel="0" collapsed="false">
      <c r="A10" s="4" t="s">
        <v>52</v>
      </c>
      <c r="B10" s="11" t="s">
        <v>175</v>
      </c>
      <c r="C10" s="11" t="s">
        <v>176</v>
      </c>
      <c r="D10" s="11" t="s">
        <v>177</v>
      </c>
    </row>
    <row r="11" customFormat="false" ht="15" hidden="false" customHeight="false" outlineLevel="0" collapsed="false">
      <c r="A11" s="6" t="s">
        <v>178</v>
      </c>
      <c r="B11" s="15" t="n">
        <v>200000</v>
      </c>
      <c r="C11" s="10" t="n">
        <v>650</v>
      </c>
      <c r="D11" s="20" t="n">
        <f aca="false">B11*C11</f>
        <v>130000000</v>
      </c>
      <c r="F11" s="2" t="s">
        <v>179</v>
      </c>
    </row>
    <row r="12" customFormat="false" ht="15" hidden="false" customHeight="false" outlineLevel="0" collapsed="false">
      <c r="A12" s="6" t="s">
        <v>180</v>
      </c>
      <c r="B12" s="15" t="n">
        <v>50000</v>
      </c>
      <c r="C12" s="10" t="n">
        <v>295</v>
      </c>
      <c r="D12" s="20" t="n">
        <f aca="false">B12*C12</f>
        <v>14750000</v>
      </c>
      <c r="F12" s="2" t="s">
        <v>181</v>
      </c>
    </row>
    <row r="13" customFormat="false" ht="15" hidden="false" customHeight="false" outlineLevel="0" collapsed="false">
      <c r="A13" s="6" t="s">
        <v>182</v>
      </c>
      <c r="B13" s="15" t="n">
        <v>50000</v>
      </c>
      <c r="C13" s="10" t="n">
        <v>2000</v>
      </c>
      <c r="D13" s="20" t="n">
        <f aca="false">B13*C13</f>
        <v>100000000</v>
      </c>
      <c r="F13" s="2" t="s">
        <v>183</v>
      </c>
    </row>
    <row r="14" customFormat="false" ht="15" hidden="false" customHeight="false" outlineLevel="0" collapsed="false">
      <c r="A14" s="4" t="s">
        <v>184</v>
      </c>
      <c r="B14" s="38" t="n">
        <f aca="false">SUM(B11:B13)</f>
        <v>300000</v>
      </c>
      <c r="D14" s="23" t="n">
        <f aca="false">SUM(D11:D13)</f>
        <v>244750000</v>
      </c>
    </row>
    <row r="16" customFormat="false" ht="15" hidden="false" customHeight="false" outlineLevel="0" collapsed="false">
      <c r="A16" s="3" t="s">
        <v>185</v>
      </c>
      <c r="B16" s="3"/>
      <c r="C16" s="3"/>
      <c r="D16" s="3"/>
      <c r="E16" s="3"/>
      <c r="F16" s="3"/>
    </row>
    <row r="17" customFormat="false" ht="15" hidden="false" customHeight="false" outlineLevel="0" collapsed="false">
      <c r="A17" s="6" t="s">
        <v>186</v>
      </c>
      <c r="B17" s="16" t="n">
        <f aca="false">'P&amp;L 3Y'!D8</f>
        <v>11000</v>
      </c>
    </row>
    <row r="18" customFormat="false" ht="15" hidden="false" customHeight="false" outlineLevel="0" collapsed="false">
      <c r="A18" s="4" t="s">
        <v>187</v>
      </c>
      <c r="B18" s="17" t="n">
        <f aca="false">IFERROR(B17/B14,0)</f>
        <v>0.0366666666666667</v>
      </c>
    </row>
    <row r="20" customFormat="false" ht="15" hidden="false" customHeight="false" outlineLevel="0" collapsed="false">
      <c r="A20" s="3" t="s">
        <v>188</v>
      </c>
      <c r="B20" s="3"/>
      <c r="C20" s="3"/>
      <c r="D20" s="3"/>
      <c r="E20" s="3"/>
      <c r="F20" s="3"/>
    </row>
    <row r="21" customFormat="false" ht="15" hidden="false" customHeight="false" outlineLevel="0" collapsed="false">
      <c r="A21" s="6" t="s">
        <v>189</v>
      </c>
      <c r="B21" s="15" t="n">
        <v>90000</v>
      </c>
      <c r="C21" s="10" t="n">
        <v>2500</v>
      </c>
      <c r="D21" s="24" t="n">
        <f aca="false">B21*C21</f>
        <v>225000000</v>
      </c>
      <c r="F21" s="2" t="s">
        <v>190</v>
      </c>
    </row>
    <row r="22" customFormat="false" ht="15" hidden="false" customHeight="false" outlineLevel="0" collapsed="false">
      <c r="A22" s="2" t="s">
        <v>191</v>
      </c>
    </row>
    <row r="24" customFormat="false" ht="15" hidden="false" customHeight="false" outlineLevel="0" collapsed="false">
      <c r="A24" s="4" t="s">
        <v>192</v>
      </c>
    </row>
    <row r="25" customFormat="false" ht="15" hidden="false" customHeight="false" outlineLevel="0" collapsed="false">
      <c r="A25" s="2" t="s">
        <v>193</v>
      </c>
    </row>
    <row r="26" customFormat="false" ht="15" hidden="false" customHeight="false" outlineLevel="0" collapsed="false">
      <c r="A26" s="2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2026-08-16T21:49:02Z</dcterms:created>
  <dc:creator>openpyxl</dc:creator>
  <dc:description/>
  <dc:language>en-CA</dc:language>
  <cp:lastModifiedBy/>
  <dcterms:modified xsi:type="dcterms:W3CDTF">2026-08-16T21:49:02Z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